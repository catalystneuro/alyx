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Z:\AgingProject\trackingElectrodes\Sam\"/>
    </mc:Choice>
  </mc:AlternateContent>
  <bookViews>
    <workbookView xWindow="0" yWindow="0" windowWidth="19200" windowHeight="11490" firstSheet="65" activeTab="66"/>
  </bookViews>
  <sheets>
    <sheet name="Summary" sheetId="128" r:id="rId1"/>
    <sheet name="Trode (1)" sheetId="4" r:id="rId2"/>
    <sheet name="Trode (2)" sheetId="5" r:id="rId3"/>
    <sheet name="Trode (3)" sheetId="6" r:id="rId4"/>
    <sheet name="Trode (4)" sheetId="7" r:id="rId5"/>
    <sheet name="Trode (5)" sheetId="8" r:id="rId6"/>
    <sheet name="Trode (6)" sheetId="9" r:id="rId7"/>
    <sheet name="Trode (7)" sheetId="10" r:id="rId8"/>
    <sheet name="Trode (8)" sheetId="11" r:id="rId9"/>
    <sheet name="Trode (9)" sheetId="12" r:id="rId10"/>
    <sheet name="Trode (10)" sheetId="13" r:id="rId11"/>
    <sheet name="Trode (11)" sheetId="14" r:id="rId12"/>
    <sheet name="Trode (12)" sheetId="15" r:id="rId13"/>
    <sheet name="Trode (13)" sheetId="16" r:id="rId14"/>
    <sheet name="Trode (14)" sheetId="17" r:id="rId15"/>
    <sheet name="Trode (15)" sheetId="18" r:id="rId16"/>
    <sheet name="Trode (16)" sheetId="19" r:id="rId17"/>
    <sheet name="Trode (17)" sheetId="20" r:id="rId18"/>
    <sheet name="Trode (18)" sheetId="21" r:id="rId19"/>
    <sheet name="Trode (19)" sheetId="22" r:id="rId20"/>
    <sheet name="Trode (20)" sheetId="23" r:id="rId21"/>
    <sheet name="Trode (21)" sheetId="24" r:id="rId22"/>
    <sheet name="Trode (22)" sheetId="25" r:id="rId23"/>
    <sheet name="Trode (23)" sheetId="26" r:id="rId24"/>
    <sheet name="Trode (24)" sheetId="27" r:id="rId25"/>
    <sheet name="Trode (25)" sheetId="28" r:id="rId26"/>
    <sheet name="Trode (26)" sheetId="29" r:id="rId27"/>
    <sheet name="Trode (27)" sheetId="30" r:id="rId28"/>
    <sheet name="Trode (28)" sheetId="31" r:id="rId29"/>
    <sheet name="Trode (29)" sheetId="32" r:id="rId30"/>
    <sheet name="Trode (30)" sheetId="33" r:id="rId31"/>
    <sheet name="Trode (31)" sheetId="34" r:id="rId32"/>
    <sheet name="Trode (32)" sheetId="35" r:id="rId33"/>
    <sheet name="Trode (33)" sheetId="36" r:id="rId34"/>
    <sheet name="Trode (34)" sheetId="37" r:id="rId35"/>
    <sheet name="Trode (35)" sheetId="38" r:id="rId36"/>
    <sheet name="Trode (36)" sheetId="39" r:id="rId37"/>
    <sheet name="Trode (37)" sheetId="40" r:id="rId38"/>
    <sheet name="Trode (38)" sheetId="41" r:id="rId39"/>
    <sheet name="Trode (39)" sheetId="42" r:id="rId40"/>
    <sheet name="Trode (40)" sheetId="43" r:id="rId41"/>
    <sheet name="Trode (41)" sheetId="44" r:id="rId42"/>
    <sheet name="Trode (42)" sheetId="45" r:id="rId43"/>
    <sheet name="Trode (43)" sheetId="46" r:id="rId44"/>
    <sheet name="Trode (44)" sheetId="47" r:id="rId45"/>
    <sheet name="Trode (45)" sheetId="48" r:id="rId46"/>
    <sheet name="Trode (46)" sheetId="49" r:id="rId47"/>
    <sheet name="Trode (47)" sheetId="50" r:id="rId48"/>
    <sheet name="Trode (48)" sheetId="51" r:id="rId49"/>
    <sheet name="Trode (49)" sheetId="52" r:id="rId50"/>
    <sheet name="Trode (50)" sheetId="53" r:id="rId51"/>
    <sheet name="Trode (51)" sheetId="54" r:id="rId52"/>
    <sheet name="Trode (52)" sheetId="55" r:id="rId53"/>
    <sheet name="Trode (53)" sheetId="56" r:id="rId54"/>
    <sheet name="Trode (54)" sheetId="57" r:id="rId55"/>
    <sheet name="Trode (55)" sheetId="58" r:id="rId56"/>
    <sheet name="Trode (56)" sheetId="59" r:id="rId57"/>
    <sheet name="Trode (57)" sheetId="60" r:id="rId58"/>
    <sheet name="Trode (58)" sheetId="61" r:id="rId59"/>
    <sheet name="Trode (59)" sheetId="62" r:id="rId60"/>
    <sheet name="Trode (60)" sheetId="63" r:id="rId61"/>
    <sheet name="Trode (61)" sheetId="64" r:id="rId62"/>
    <sheet name="Trode (62)" sheetId="65" r:id="rId63"/>
    <sheet name="Trode (63)" sheetId="66" r:id="rId64"/>
    <sheet name="Trode (64)" sheetId="67" r:id="rId65"/>
    <sheet name="Trode (65)" sheetId="68" r:id="rId66"/>
    <sheet name="Trode (66)" sheetId="69" r:id="rId67"/>
    <sheet name="Trode (67)" sheetId="70" r:id="rId68"/>
    <sheet name="Trode (68)" sheetId="71" r:id="rId69"/>
    <sheet name="Trode (69)" sheetId="72" r:id="rId70"/>
    <sheet name="Trode (70)" sheetId="73" r:id="rId71"/>
    <sheet name="Trode (71)" sheetId="74" r:id="rId72"/>
    <sheet name="Trode (72)" sheetId="75" r:id="rId73"/>
    <sheet name="Trode (73)" sheetId="76" r:id="rId74"/>
    <sheet name="Trode (74)" sheetId="77" r:id="rId75"/>
    <sheet name="Trode (75)" sheetId="78" r:id="rId76"/>
    <sheet name="Trode (76)" sheetId="79" r:id="rId77"/>
    <sheet name="Trode (77)" sheetId="80" r:id="rId78"/>
    <sheet name="Trode (78)" sheetId="81" r:id="rId79"/>
    <sheet name="Trode (79)" sheetId="82" r:id="rId80"/>
    <sheet name="Trode (80)" sheetId="83" r:id="rId81"/>
    <sheet name="Trode (81)" sheetId="84" r:id="rId82"/>
    <sheet name="Trode (82)" sheetId="85" r:id="rId83"/>
    <sheet name="Trode (83)" sheetId="86" r:id="rId84"/>
    <sheet name="Trode (84)" sheetId="87" r:id="rId85"/>
    <sheet name="Trode (85)" sheetId="88" r:id="rId86"/>
    <sheet name="Trode (86)" sheetId="89" r:id="rId87"/>
    <sheet name="Trode (87)" sheetId="90" r:id="rId88"/>
    <sheet name="Trode (88)" sheetId="91" r:id="rId89"/>
    <sheet name="Trode (89)" sheetId="92" r:id="rId90"/>
    <sheet name="Trode (90)" sheetId="93" r:id="rId91"/>
    <sheet name="Trode (91)" sheetId="94" r:id="rId92"/>
    <sheet name="Trode (92)" sheetId="95" r:id="rId93"/>
    <sheet name="Trode (93)" sheetId="96" r:id="rId94"/>
    <sheet name="Trode (94)" sheetId="97" r:id="rId95"/>
    <sheet name="Trode (95)" sheetId="98" r:id="rId96"/>
    <sheet name="Trode (96)" sheetId="99" r:id="rId97"/>
  </sheets>
  <definedNames>
    <definedName name="_xlnm.Print_Area" localSheetId="0">Summary!$A$1:$L$79</definedName>
    <definedName name="Sheetnames">REPLACE(GET.WORKBOOK(1),1,FIND("]",GET.WORKBOOK(1)),"")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69" l="1"/>
  <c r="D21" i="81"/>
  <c r="D22" i="89"/>
  <c r="D25" i="93"/>
  <c r="D23" i="85"/>
  <c r="D21" i="71"/>
  <c r="D25" i="67"/>
  <c r="D21" i="66"/>
  <c r="D18" i="68"/>
  <c r="D22" i="73"/>
  <c r="D21" i="80"/>
  <c r="D21" i="88"/>
  <c r="D24" i="96"/>
  <c r="D20" i="98"/>
  <c r="D13" i="84"/>
  <c r="D21" i="76"/>
  <c r="D23" i="70"/>
  <c r="D22" i="65"/>
  <c r="D23" i="63"/>
  <c r="D23" i="62"/>
  <c r="D24" i="61"/>
  <c r="D22" i="72"/>
  <c r="D20" i="79"/>
  <c r="D22" i="87"/>
  <c r="D16" i="91"/>
  <c r="D18" i="83"/>
  <c r="D24" i="75"/>
  <c r="D23" i="60"/>
  <c r="D26" i="58"/>
  <c r="D18" i="56"/>
  <c r="D26" i="55"/>
  <c r="D23" i="54"/>
  <c r="D24" i="78"/>
  <c r="D21" i="94"/>
  <c r="D24" i="90"/>
  <c r="D24" i="82"/>
  <c r="D22" i="6"/>
  <c r="D21" i="22"/>
  <c r="D25" i="15"/>
  <c r="D21" i="9"/>
  <c r="D19" i="53"/>
  <c r="D23" i="51"/>
  <c r="D23" i="50"/>
  <c r="D24" i="49"/>
  <c r="D23" i="48"/>
  <c r="D23" i="47"/>
  <c r="D22" i="45"/>
  <c r="D16" i="44"/>
  <c r="D27" i="43"/>
  <c r="D24" i="26"/>
  <c r="D24" i="19"/>
  <c r="D25" i="12"/>
  <c r="D25" i="7"/>
  <c r="D24" i="40"/>
  <c r="D26" i="5"/>
  <c r="D16" i="13"/>
  <c r="D24" i="8"/>
  <c r="D24" i="39"/>
  <c r="D21" i="37"/>
  <c r="D26" i="34"/>
  <c r="D28" i="30"/>
  <c r="D25" i="24"/>
  <c r="D26" i="17"/>
  <c r="D24" i="21"/>
  <c r="D20" i="14"/>
  <c r="D24" i="25"/>
  <c r="D18" i="35"/>
  <c r="D17" i="35" l="1"/>
  <c r="D23" i="25"/>
  <c r="D23" i="21"/>
  <c r="D19" i="14"/>
  <c r="D20" i="37"/>
  <c r="D25" i="34"/>
  <c r="D27" i="30"/>
  <c r="D24" i="24"/>
  <c r="D25" i="17"/>
  <c r="D21" i="11"/>
  <c r="D23" i="8"/>
  <c r="D15" i="13"/>
  <c r="D23" i="39"/>
  <c r="D19" i="42"/>
  <c r="D23" i="40"/>
  <c r="D24" i="10"/>
  <c r="D25" i="5"/>
  <c r="D24" i="7"/>
  <c r="D24" i="12"/>
  <c r="D23" i="19"/>
  <c r="D23" i="26"/>
  <c r="D15" i="44"/>
  <c r="D26" i="43"/>
  <c r="D21" i="45"/>
  <c r="D20" i="22"/>
  <c r="D24" i="15"/>
  <c r="D20" i="9"/>
  <c r="D21" i="6"/>
  <c r="D23" i="49"/>
  <c r="D22" i="48"/>
  <c r="D22" i="47"/>
  <c r="D23" i="90"/>
  <c r="D23" i="82"/>
  <c r="D22" i="51"/>
  <c r="D22" i="50"/>
  <c r="D17" i="56"/>
  <c r="D25" i="55"/>
  <c r="D22" i="54"/>
  <c r="D23" i="78"/>
  <c r="D20" i="94"/>
  <c r="D22" i="60"/>
  <c r="D25" i="58"/>
  <c r="D23" i="75"/>
  <c r="D15" i="91"/>
  <c r="D17" i="83"/>
  <c r="D21" i="87"/>
  <c r="D19" i="79"/>
  <c r="D21" i="72"/>
  <c r="D23" i="61"/>
  <c r="D22" i="62"/>
  <c r="D22" i="63"/>
  <c r="D21" i="65"/>
  <c r="D22" i="70"/>
  <c r="D20" i="76"/>
  <c r="D12" i="84"/>
  <c r="D19" i="98"/>
  <c r="D23" i="96"/>
  <c r="D20" i="88"/>
  <c r="D20" i="80"/>
  <c r="D21" i="73"/>
  <c r="D17" i="68"/>
  <c r="D20" i="66"/>
  <c r="D24" i="67"/>
  <c r="D20" i="71"/>
  <c r="D19" i="71"/>
  <c r="D20" i="77"/>
  <c r="D22" i="85"/>
  <c r="D24" i="93"/>
  <c r="D21" i="89"/>
  <c r="D20" i="81"/>
  <c r="D21" i="69"/>
  <c r="D15" i="74"/>
  <c r="D20" i="89"/>
  <c r="D19" i="81"/>
  <c r="D20" i="69"/>
  <c r="D23" i="67"/>
  <c r="D19" i="77"/>
  <c r="D21" i="85"/>
  <c r="D23" i="93"/>
  <c r="D22" i="96"/>
  <c r="D19" i="88"/>
  <c r="D19" i="80"/>
  <c r="D20" i="73"/>
  <c r="D16" i="68"/>
  <c r="D19" i="66"/>
  <c r="D18" i="98"/>
  <c r="D11" i="84"/>
  <c r="D19" i="76"/>
  <c r="D21" i="70"/>
  <c r="D20" i="65"/>
  <c r="D21" i="62"/>
  <c r="D21" i="63"/>
  <c r="D22" i="61"/>
  <c r="D20" i="72"/>
  <c r="D20" i="87"/>
  <c r="D18" i="79"/>
  <c r="D22" i="75"/>
  <c r="D21" i="60"/>
  <c r="D24" i="58"/>
  <c r="D16" i="56"/>
  <c r="D21" i="54"/>
  <c r="D24" i="55"/>
  <c r="D22" i="78"/>
  <c r="D15" i="99"/>
  <c r="D19" i="94"/>
  <c r="D22" i="90"/>
  <c r="D22" i="82"/>
  <c r="D18" i="53"/>
  <c r="D20" i="6"/>
  <c r="D21" i="51"/>
  <c r="D21" i="50"/>
  <c r="D22" i="49"/>
  <c r="D21" i="48"/>
  <c r="D21" i="47"/>
  <c r="D23" i="15"/>
  <c r="D19" i="9"/>
  <c r="D19" i="22"/>
  <c r="D22" i="26"/>
  <c r="D22" i="19"/>
  <c r="D23" i="12"/>
  <c r="D23" i="7"/>
  <c r="D20" i="45"/>
  <c r="D14" i="44"/>
  <c r="D25" i="43"/>
  <c r="D18" i="42"/>
  <c r="D22" i="40"/>
  <c r="D20" i="29"/>
  <c r="D14" i="23"/>
  <c r="D14" i="16"/>
  <c r="D23" i="10"/>
  <c r="D24" i="5"/>
  <c r="D22" i="39"/>
  <c r="D11" i="32"/>
  <c r="D22" i="8"/>
  <c r="D14" i="13"/>
  <c r="D19" i="37"/>
  <c r="D24" i="34"/>
  <c r="D26" i="30"/>
  <c r="D23" i="24"/>
  <c r="D24" i="17"/>
  <c r="D20" i="11"/>
  <c r="D18" i="33"/>
  <c r="D22" i="21"/>
  <c r="D18" i="14"/>
  <c r="D16" i="35"/>
  <c r="D22" i="25"/>
  <c r="D22" i="18"/>
  <c r="D17" i="98" l="1"/>
  <c r="D21" i="96"/>
  <c r="D18" i="94"/>
  <c r="D22" i="93"/>
  <c r="D14" i="91"/>
  <c r="D21" i="90"/>
  <c r="D19" i="89"/>
  <c r="D18" i="88"/>
  <c r="D19" i="87"/>
  <c r="D20" i="85"/>
  <c r="D10" i="84"/>
  <c r="D16" i="83"/>
  <c r="D21" i="82"/>
  <c r="D18" i="81"/>
  <c r="D18" i="80"/>
  <c r="D17" i="79"/>
  <c r="D21" i="78"/>
  <c r="D18" i="77"/>
  <c r="D18" i="76"/>
  <c r="D21" i="75"/>
  <c r="D14" i="74"/>
  <c r="D19" i="73"/>
  <c r="D19" i="72"/>
  <c r="D18" i="71"/>
  <c r="D20" i="70"/>
  <c r="D19" i="69"/>
  <c r="D15" i="68"/>
  <c r="D22" i="67"/>
  <c r="D18" i="66"/>
  <c r="D19" i="65"/>
  <c r="D20" i="63"/>
  <c r="D20" i="62"/>
  <c r="D21" i="61"/>
  <c r="D20" i="60"/>
  <c r="D23" i="58"/>
  <c r="D15" i="56"/>
  <c r="D23" i="55"/>
  <c r="D20" i="54"/>
  <c r="D17" i="53"/>
  <c r="D20" i="51"/>
  <c r="D20" i="50"/>
  <c r="D21" i="49"/>
  <c r="D20" i="48"/>
  <c r="D20" i="47"/>
  <c r="D19" i="6"/>
  <c r="D18" i="22"/>
  <c r="D22" i="15"/>
  <c r="D18" i="9"/>
  <c r="D21" i="26"/>
  <c r="D21" i="19"/>
  <c r="D22" i="12"/>
  <c r="D22" i="7"/>
  <c r="D19" i="45"/>
  <c r="D13" i="44"/>
  <c r="D24" i="43"/>
  <c r="D17" i="42"/>
  <c r="D21" i="40"/>
  <c r="D19" i="29"/>
  <c r="D13" i="23"/>
  <c r="D13" i="16"/>
  <c r="D22" i="10"/>
  <c r="D23" i="5"/>
  <c r="D21" i="39"/>
  <c r="D10" i="32"/>
  <c r="D13" i="13"/>
  <c r="D21" i="8"/>
  <c r="D18" i="37"/>
  <c r="D23" i="34"/>
  <c r="D25" i="30"/>
  <c r="D22" i="24"/>
  <c r="D23" i="17"/>
  <c r="D19" i="11"/>
  <c r="D17" i="33"/>
  <c r="D14" i="28"/>
  <c r="D21" i="21"/>
  <c r="D17" i="14"/>
  <c r="D9" i="36"/>
  <c r="D15" i="35"/>
  <c r="D21" i="25"/>
  <c r="D21" i="18"/>
  <c r="D22" i="34"/>
  <c r="D20" i="26"/>
  <c r="D20" i="21"/>
  <c r="D16" i="14"/>
  <c r="D14" i="35"/>
  <c r="D20" i="25"/>
  <c r="D18" i="29"/>
  <c r="D9" i="31"/>
  <c r="D13" i="38"/>
  <c r="D22" i="5"/>
  <c r="D21" i="7"/>
  <c r="D20" i="8"/>
  <c r="D21" i="10"/>
  <c r="D18" i="11"/>
  <c r="D21" i="12"/>
  <c r="D22" i="17"/>
  <c r="D20" i="18"/>
  <c r="D20" i="19"/>
  <c r="D21" i="24"/>
  <c r="D24" i="30"/>
  <c r="D17" i="37"/>
  <c r="D20" i="39"/>
  <c r="D23" i="43"/>
  <c r="D12" i="44"/>
  <c r="D18" i="45"/>
  <c r="D19" i="47"/>
  <c r="D8" i="52"/>
  <c r="D9" i="57"/>
  <c r="D19" i="10"/>
  <c r="D16" i="11"/>
  <c r="D24" i="9"/>
  <c r="D16" i="42"/>
  <c r="D12" i="16"/>
  <c r="D18" i="72"/>
  <c r="D17" i="72"/>
  <c r="D16" i="98"/>
  <c r="D15" i="98"/>
  <c r="D13" i="91"/>
  <c r="D29" i="81"/>
  <c r="D28" i="81"/>
  <c r="D15" i="42"/>
  <c r="D16" i="33"/>
  <c r="D12" i="28"/>
  <c r="D12" i="23"/>
  <c r="D18" i="8"/>
  <c r="D14" i="47" l="1"/>
  <c r="D20" i="7"/>
  <c r="D12" i="62" l="1"/>
  <c r="D9" i="33" l="1"/>
  <c r="D7" i="6" l="1"/>
  <c r="D6" i="8" l="1"/>
  <c r="D7" i="8"/>
  <c r="D8" i="8"/>
  <c r="D9" i="8"/>
  <c r="D10" i="8"/>
  <c r="D11" i="8"/>
  <c r="D12" i="8"/>
  <c r="D13" i="8"/>
  <c r="D14" i="8"/>
  <c r="D15" i="8"/>
  <c r="D16" i="8"/>
  <c r="D17" i="8"/>
  <c r="D19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5" i="8"/>
  <c r="D4" i="14" l="1"/>
  <c r="B3" i="128" l="1"/>
  <c r="D80" i="99"/>
  <c r="D79" i="99"/>
  <c r="D78" i="99"/>
  <c r="D77" i="99"/>
  <c r="D76" i="99"/>
  <c r="D75" i="99"/>
  <c r="D74" i="99"/>
  <c r="D73" i="99"/>
  <c r="D72" i="99"/>
  <c r="D71" i="99"/>
  <c r="D70" i="99"/>
  <c r="D69" i="99"/>
  <c r="D68" i="99"/>
  <c r="D67" i="99"/>
  <c r="D66" i="99"/>
  <c r="D65" i="99"/>
  <c r="D64" i="99"/>
  <c r="D63" i="99"/>
  <c r="D62" i="99"/>
  <c r="D61" i="99"/>
  <c r="D60" i="99"/>
  <c r="D59" i="99"/>
  <c r="D58" i="99"/>
  <c r="D57" i="99"/>
  <c r="D56" i="99"/>
  <c r="D55" i="99"/>
  <c r="D54" i="99"/>
  <c r="D53" i="99"/>
  <c r="D52" i="99"/>
  <c r="D51" i="99"/>
  <c r="D50" i="99"/>
  <c r="D49" i="99"/>
  <c r="D48" i="99"/>
  <c r="D47" i="99"/>
  <c r="D46" i="99"/>
  <c r="D45" i="99"/>
  <c r="D44" i="99"/>
  <c r="D43" i="99"/>
  <c r="D42" i="99"/>
  <c r="D41" i="99"/>
  <c r="D40" i="99"/>
  <c r="D39" i="99"/>
  <c r="D38" i="99"/>
  <c r="D37" i="99"/>
  <c r="D36" i="99"/>
  <c r="D35" i="99"/>
  <c r="D34" i="99"/>
  <c r="D33" i="99"/>
  <c r="D32" i="99"/>
  <c r="D31" i="99"/>
  <c r="D30" i="99"/>
  <c r="D29" i="99"/>
  <c r="D28" i="99"/>
  <c r="D27" i="99"/>
  <c r="D26" i="99"/>
  <c r="D25" i="99"/>
  <c r="D24" i="99"/>
  <c r="D23" i="99"/>
  <c r="D22" i="99"/>
  <c r="D21" i="99"/>
  <c r="D20" i="99"/>
  <c r="D19" i="99"/>
  <c r="D18" i="99"/>
  <c r="D17" i="99"/>
  <c r="D16" i="99"/>
  <c r="D14" i="99"/>
  <c r="D13" i="99"/>
  <c r="D12" i="99"/>
  <c r="D11" i="99"/>
  <c r="D10" i="99"/>
  <c r="D9" i="99"/>
  <c r="D8" i="99"/>
  <c r="D7" i="99"/>
  <c r="D6" i="99"/>
  <c r="D5" i="99"/>
  <c r="D4" i="99"/>
  <c r="D79" i="98"/>
  <c r="D78" i="98"/>
  <c r="D77" i="98"/>
  <c r="D76" i="98"/>
  <c r="D75" i="98"/>
  <c r="D74" i="98"/>
  <c r="D73" i="98"/>
  <c r="D72" i="98"/>
  <c r="D71" i="98"/>
  <c r="D70" i="98"/>
  <c r="D69" i="98"/>
  <c r="D68" i="98"/>
  <c r="D67" i="98"/>
  <c r="D66" i="98"/>
  <c r="D65" i="98"/>
  <c r="D64" i="98"/>
  <c r="D63" i="98"/>
  <c r="D62" i="98"/>
  <c r="D61" i="98"/>
  <c r="D60" i="98"/>
  <c r="D59" i="98"/>
  <c r="D58" i="98"/>
  <c r="D57" i="98"/>
  <c r="D56" i="98"/>
  <c r="D55" i="98"/>
  <c r="D54" i="98"/>
  <c r="D53" i="98"/>
  <c r="D52" i="98"/>
  <c r="D51" i="98"/>
  <c r="D50" i="98"/>
  <c r="D49" i="98"/>
  <c r="D48" i="98"/>
  <c r="D47" i="98"/>
  <c r="D46" i="98"/>
  <c r="D45" i="98"/>
  <c r="D44" i="98"/>
  <c r="D43" i="98"/>
  <c r="D42" i="98"/>
  <c r="D41" i="98"/>
  <c r="D40" i="98"/>
  <c r="D39" i="98"/>
  <c r="D38" i="98"/>
  <c r="D37" i="98"/>
  <c r="D36" i="98"/>
  <c r="D35" i="98"/>
  <c r="D34" i="98"/>
  <c r="D33" i="98"/>
  <c r="D32" i="98"/>
  <c r="D31" i="98"/>
  <c r="D30" i="98"/>
  <c r="D29" i="98"/>
  <c r="D28" i="98"/>
  <c r="D27" i="98"/>
  <c r="D26" i="98"/>
  <c r="D25" i="98"/>
  <c r="D24" i="98"/>
  <c r="D23" i="98"/>
  <c r="D22" i="98"/>
  <c r="D21" i="98"/>
  <c r="D14" i="98"/>
  <c r="D13" i="98"/>
  <c r="D12" i="98"/>
  <c r="D11" i="98"/>
  <c r="D10" i="98"/>
  <c r="D9" i="98"/>
  <c r="D8" i="98"/>
  <c r="D7" i="98"/>
  <c r="D6" i="98"/>
  <c r="D5" i="98"/>
  <c r="D4" i="98"/>
  <c r="D80" i="97"/>
  <c r="D79" i="97"/>
  <c r="D78" i="97"/>
  <c r="D77" i="97"/>
  <c r="D76" i="97"/>
  <c r="D75" i="97"/>
  <c r="D74" i="97"/>
  <c r="D73" i="97"/>
  <c r="D72" i="97"/>
  <c r="D71" i="97"/>
  <c r="D70" i="97"/>
  <c r="D69" i="97"/>
  <c r="D68" i="97"/>
  <c r="D67" i="97"/>
  <c r="D66" i="97"/>
  <c r="D65" i="97"/>
  <c r="D64" i="97"/>
  <c r="D63" i="97"/>
  <c r="D62" i="97"/>
  <c r="D61" i="97"/>
  <c r="D60" i="97"/>
  <c r="D59" i="97"/>
  <c r="D58" i="97"/>
  <c r="D57" i="97"/>
  <c r="D56" i="97"/>
  <c r="D55" i="97"/>
  <c r="D54" i="97"/>
  <c r="D53" i="97"/>
  <c r="D52" i="97"/>
  <c r="D51" i="97"/>
  <c r="D50" i="97"/>
  <c r="D49" i="97"/>
  <c r="D48" i="97"/>
  <c r="D47" i="97"/>
  <c r="D46" i="97"/>
  <c r="D45" i="97"/>
  <c r="D44" i="97"/>
  <c r="D43" i="97"/>
  <c r="D42" i="97"/>
  <c r="D41" i="97"/>
  <c r="D40" i="97"/>
  <c r="D39" i="97"/>
  <c r="D38" i="97"/>
  <c r="D37" i="97"/>
  <c r="D36" i="97"/>
  <c r="D35" i="97"/>
  <c r="D34" i="97"/>
  <c r="D33" i="97"/>
  <c r="D32" i="97"/>
  <c r="D31" i="97"/>
  <c r="D30" i="97"/>
  <c r="D29" i="97"/>
  <c r="D28" i="97"/>
  <c r="D27" i="97"/>
  <c r="D26" i="97"/>
  <c r="D25" i="97"/>
  <c r="D24" i="97"/>
  <c r="D23" i="97"/>
  <c r="D22" i="97"/>
  <c r="D21" i="97"/>
  <c r="D20" i="97"/>
  <c r="D19" i="97"/>
  <c r="D18" i="97"/>
  <c r="D17" i="97"/>
  <c r="D16" i="97"/>
  <c r="D15" i="97"/>
  <c r="D14" i="97"/>
  <c r="D13" i="97"/>
  <c r="D12" i="97"/>
  <c r="D11" i="97"/>
  <c r="D10" i="97"/>
  <c r="D9" i="97"/>
  <c r="D8" i="97"/>
  <c r="D7" i="97"/>
  <c r="D6" i="97"/>
  <c r="D5" i="97"/>
  <c r="D4" i="97"/>
  <c r="D80" i="96"/>
  <c r="D79" i="96"/>
  <c r="D78" i="96"/>
  <c r="D77" i="96"/>
  <c r="D76" i="96"/>
  <c r="D75" i="96"/>
  <c r="D74" i="96"/>
  <c r="D73" i="96"/>
  <c r="D72" i="96"/>
  <c r="D71" i="96"/>
  <c r="D70" i="96"/>
  <c r="D69" i="96"/>
  <c r="D68" i="96"/>
  <c r="D67" i="96"/>
  <c r="D66" i="96"/>
  <c r="D65" i="96"/>
  <c r="D64" i="96"/>
  <c r="D63" i="96"/>
  <c r="D62" i="96"/>
  <c r="D61" i="96"/>
  <c r="D60" i="96"/>
  <c r="D59" i="96"/>
  <c r="D58" i="96"/>
  <c r="D57" i="96"/>
  <c r="D56" i="96"/>
  <c r="D55" i="96"/>
  <c r="D54" i="96"/>
  <c r="D53" i="96"/>
  <c r="D52" i="96"/>
  <c r="D51" i="96"/>
  <c r="D50" i="96"/>
  <c r="D49" i="96"/>
  <c r="D48" i="96"/>
  <c r="D47" i="96"/>
  <c r="D46" i="96"/>
  <c r="D45" i="96"/>
  <c r="D44" i="96"/>
  <c r="D43" i="96"/>
  <c r="D42" i="96"/>
  <c r="D41" i="96"/>
  <c r="D40" i="96"/>
  <c r="D39" i="96"/>
  <c r="D38" i="96"/>
  <c r="D37" i="96"/>
  <c r="D36" i="96"/>
  <c r="D35" i="96"/>
  <c r="D34" i="96"/>
  <c r="D33" i="96"/>
  <c r="D32" i="96"/>
  <c r="D31" i="96"/>
  <c r="D30" i="96"/>
  <c r="D29" i="96"/>
  <c r="D28" i="96"/>
  <c r="D27" i="96"/>
  <c r="D26" i="96"/>
  <c r="D25" i="96"/>
  <c r="D20" i="96"/>
  <c r="D19" i="96"/>
  <c r="D18" i="96"/>
  <c r="D17" i="96"/>
  <c r="D16" i="96"/>
  <c r="D15" i="96"/>
  <c r="D14" i="96"/>
  <c r="D13" i="96"/>
  <c r="D12" i="96"/>
  <c r="D11" i="96"/>
  <c r="D10" i="96"/>
  <c r="D9" i="96"/>
  <c r="D8" i="96"/>
  <c r="D7" i="96"/>
  <c r="D6" i="96"/>
  <c r="D5" i="96"/>
  <c r="D4" i="96"/>
  <c r="D80" i="95"/>
  <c r="D79" i="95"/>
  <c r="D78" i="95"/>
  <c r="D77" i="95"/>
  <c r="D76" i="95"/>
  <c r="D75" i="95"/>
  <c r="D74" i="95"/>
  <c r="D73" i="95"/>
  <c r="D72" i="95"/>
  <c r="D71" i="95"/>
  <c r="D70" i="95"/>
  <c r="D69" i="95"/>
  <c r="D68" i="95"/>
  <c r="D67" i="95"/>
  <c r="D66" i="95"/>
  <c r="D65" i="95"/>
  <c r="D64" i="95"/>
  <c r="D63" i="95"/>
  <c r="D62" i="95"/>
  <c r="D61" i="95"/>
  <c r="D60" i="95"/>
  <c r="D59" i="95"/>
  <c r="D58" i="95"/>
  <c r="D57" i="95"/>
  <c r="D56" i="95"/>
  <c r="D55" i="95"/>
  <c r="D54" i="95"/>
  <c r="D53" i="95"/>
  <c r="D52" i="95"/>
  <c r="D51" i="95"/>
  <c r="D50" i="95"/>
  <c r="D49" i="95"/>
  <c r="D48" i="95"/>
  <c r="D47" i="95"/>
  <c r="D46" i="95"/>
  <c r="D45" i="95"/>
  <c r="D44" i="95"/>
  <c r="D43" i="95"/>
  <c r="D42" i="95"/>
  <c r="D41" i="95"/>
  <c r="D40" i="95"/>
  <c r="D39" i="95"/>
  <c r="D38" i="95"/>
  <c r="D37" i="95"/>
  <c r="D36" i="95"/>
  <c r="D35" i="95"/>
  <c r="D34" i="95"/>
  <c r="D33" i="95"/>
  <c r="D32" i="95"/>
  <c r="D31" i="95"/>
  <c r="D30" i="95"/>
  <c r="D29" i="95"/>
  <c r="D28" i="95"/>
  <c r="D27" i="95"/>
  <c r="D26" i="95"/>
  <c r="D25" i="95"/>
  <c r="D24" i="95"/>
  <c r="D23" i="95"/>
  <c r="D22" i="95"/>
  <c r="D21" i="95"/>
  <c r="D20" i="95"/>
  <c r="D19" i="95"/>
  <c r="D18" i="95"/>
  <c r="D17" i="95"/>
  <c r="D16" i="95"/>
  <c r="D15" i="95"/>
  <c r="D14" i="95"/>
  <c r="D13" i="95"/>
  <c r="D12" i="95"/>
  <c r="D11" i="95"/>
  <c r="D10" i="95"/>
  <c r="D9" i="95"/>
  <c r="D8" i="95"/>
  <c r="D7" i="95"/>
  <c r="D6" i="95"/>
  <c r="D5" i="95"/>
  <c r="D4" i="95"/>
  <c r="D79" i="94"/>
  <c r="D78" i="94"/>
  <c r="D77" i="94"/>
  <c r="D76" i="94"/>
  <c r="D75" i="94"/>
  <c r="D74" i="94"/>
  <c r="D73" i="94"/>
  <c r="D72" i="94"/>
  <c r="D71" i="94"/>
  <c r="D70" i="94"/>
  <c r="D69" i="94"/>
  <c r="D68" i="94"/>
  <c r="D67" i="94"/>
  <c r="D66" i="94"/>
  <c r="D65" i="94"/>
  <c r="D64" i="94"/>
  <c r="D63" i="94"/>
  <c r="D62" i="94"/>
  <c r="D61" i="94"/>
  <c r="D60" i="94"/>
  <c r="D59" i="94"/>
  <c r="D58" i="94"/>
  <c r="D57" i="94"/>
  <c r="D56" i="94"/>
  <c r="D55" i="94"/>
  <c r="D54" i="94"/>
  <c r="D53" i="94"/>
  <c r="D52" i="94"/>
  <c r="D51" i="94"/>
  <c r="D50" i="94"/>
  <c r="D49" i="94"/>
  <c r="D48" i="94"/>
  <c r="D47" i="94"/>
  <c r="D46" i="94"/>
  <c r="D45" i="94"/>
  <c r="D44" i="94"/>
  <c r="D43" i="94"/>
  <c r="D42" i="94"/>
  <c r="D41" i="94"/>
  <c r="D40" i="94"/>
  <c r="D39" i="94"/>
  <c r="D38" i="94"/>
  <c r="D37" i="94"/>
  <c r="D36" i="94"/>
  <c r="D35" i="94"/>
  <c r="D34" i="94"/>
  <c r="D33" i="94"/>
  <c r="D32" i="94"/>
  <c r="D31" i="94"/>
  <c r="D30" i="94"/>
  <c r="D29" i="94"/>
  <c r="D28" i="94"/>
  <c r="D27" i="94"/>
  <c r="D26" i="94"/>
  <c r="D25" i="94"/>
  <c r="D24" i="94"/>
  <c r="D23" i="94"/>
  <c r="D22" i="94"/>
  <c r="D17" i="94"/>
  <c r="D16" i="94"/>
  <c r="D15" i="94"/>
  <c r="D14" i="94"/>
  <c r="D13" i="94"/>
  <c r="D12" i="94"/>
  <c r="D11" i="94"/>
  <c r="D10" i="94"/>
  <c r="D9" i="94"/>
  <c r="D8" i="94"/>
  <c r="D7" i="94"/>
  <c r="D6" i="94"/>
  <c r="D5" i="94"/>
  <c r="D4" i="94"/>
  <c r="D80" i="93"/>
  <c r="D79" i="93"/>
  <c r="D78" i="93"/>
  <c r="D77" i="93"/>
  <c r="D76" i="93"/>
  <c r="D75" i="93"/>
  <c r="D74" i="93"/>
  <c r="D73" i="93"/>
  <c r="D72" i="93"/>
  <c r="D71" i="93"/>
  <c r="D70" i="93"/>
  <c r="D69" i="93"/>
  <c r="D68" i="93"/>
  <c r="D67" i="93"/>
  <c r="D66" i="93"/>
  <c r="D65" i="93"/>
  <c r="D64" i="93"/>
  <c r="D63" i="93"/>
  <c r="D62" i="93"/>
  <c r="D61" i="93"/>
  <c r="D60" i="93"/>
  <c r="D59" i="93"/>
  <c r="D58" i="93"/>
  <c r="D57" i="93"/>
  <c r="D56" i="93"/>
  <c r="D55" i="93"/>
  <c r="D54" i="93"/>
  <c r="D53" i="93"/>
  <c r="D52" i="93"/>
  <c r="D51" i="93"/>
  <c r="D50" i="93"/>
  <c r="D49" i="93"/>
  <c r="D48" i="93"/>
  <c r="D47" i="93"/>
  <c r="D46" i="93"/>
  <c r="D45" i="93"/>
  <c r="D44" i="93"/>
  <c r="D43" i="93"/>
  <c r="D42" i="93"/>
  <c r="D41" i="93"/>
  <c r="D40" i="93"/>
  <c r="D39" i="93"/>
  <c r="D38" i="93"/>
  <c r="D37" i="93"/>
  <c r="D36" i="93"/>
  <c r="D35" i="93"/>
  <c r="D34" i="93"/>
  <c r="D33" i="93"/>
  <c r="D32" i="93"/>
  <c r="D31" i="93"/>
  <c r="D30" i="93"/>
  <c r="D29" i="93"/>
  <c r="D28" i="93"/>
  <c r="D27" i="93"/>
  <c r="D26" i="93"/>
  <c r="D21" i="93"/>
  <c r="D20" i="93"/>
  <c r="D19" i="93"/>
  <c r="D18" i="93"/>
  <c r="D17" i="93"/>
  <c r="D16" i="93"/>
  <c r="D15" i="93"/>
  <c r="D14" i="93"/>
  <c r="D13" i="93"/>
  <c r="D12" i="93"/>
  <c r="D11" i="93"/>
  <c r="D10" i="93"/>
  <c r="D9" i="93"/>
  <c r="D8" i="93"/>
  <c r="D7" i="93"/>
  <c r="D6" i="93"/>
  <c r="D5" i="93"/>
  <c r="D4" i="93"/>
  <c r="D80" i="92"/>
  <c r="D79" i="92"/>
  <c r="D78" i="92"/>
  <c r="D77" i="92"/>
  <c r="D76" i="92"/>
  <c r="D75" i="92"/>
  <c r="D74" i="92"/>
  <c r="D73" i="92"/>
  <c r="D72" i="92"/>
  <c r="D71" i="92"/>
  <c r="D70" i="92"/>
  <c r="D69" i="92"/>
  <c r="D68" i="92"/>
  <c r="D67" i="92"/>
  <c r="D66" i="92"/>
  <c r="D65" i="92"/>
  <c r="D64" i="92"/>
  <c r="D63" i="92"/>
  <c r="D62" i="92"/>
  <c r="D61" i="92"/>
  <c r="D60" i="92"/>
  <c r="D59" i="92"/>
  <c r="D58" i="92"/>
  <c r="D57" i="92"/>
  <c r="D56" i="92"/>
  <c r="D55" i="92"/>
  <c r="D54" i="92"/>
  <c r="D53" i="92"/>
  <c r="D52" i="92"/>
  <c r="D51" i="92"/>
  <c r="D50" i="92"/>
  <c r="D49" i="92"/>
  <c r="D48" i="92"/>
  <c r="D47" i="92"/>
  <c r="D46" i="92"/>
  <c r="D45" i="92"/>
  <c r="D44" i="92"/>
  <c r="D43" i="92"/>
  <c r="D42" i="92"/>
  <c r="D41" i="92"/>
  <c r="D40" i="92"/>
  <c r="D39" i="92"/>
  <c r="D38" i="92"/>
  <c r="D37" i="92"/>
  <c r="D36" i="92"/>
  <c r="D35" i="92"/>
  <c r="D34" i="92"/>
  <c r="D33" i="92"/>
  <c r="D32" i="92"/>
  <c r="D31" i="92"/>
  <c r="D30" i="92"/>
  <c r="D29" i="92"/>
  <c r="D28" i="92"/>
  <c r="D27" i="92"/>
  <c r="D26" i="92"/>
  <c r="D25" i="92"/>
  <c r="D24" i="92"/>
  <c r="D23" i="92"/>
  <c r="D22" i="92"/>
  <c r="D21" i="92"/>
  <c r="D20" i="92"/>
  <c r="D19" i="92"/>
  <c r="D18" i="92"/>
  <c r="D17" i="92"/>
  <c r="D16" i="92"/>
  <c r="D15" i="92"/>
  <c r="D14" i="92"/>
  <c r="D13" i="92"/>
  <c r="D12" i="92"/>
  <c r="D11" i="92"/>
  <c r="D10" i="92"/>
  <c r="D9" i="92"/>
  <c r="D8" i="92"/>
  <c r="D7" i="92"/>
  <c r="D6" i="92"/>
  <c r="D5" i="92"/>
  <c r="D4" i="92"/>
  <c r="D79" i="91"/>
  <c r="D78" i="91"/>
  <c r="D77" i="91"/>
  <c r="D76" i="91"/>
  <c r="D75" i="91"/>
  <c r="D74" i="91"/>
  <c r="D73" i="91"/>
  <c r="D72" i="91"/>
  <c r="D71" i="91"/>
  <c r="D70" i="91"/>
  <c r="D69" i="91"/>
  <c r="D68" i="91"/>
  <c r="D67" i="91"/>
  <c r="D66" i="91"/>
  <c r="D65" i="91"/>
  <c r="D64" i="91"/>
  <c r="D63" i="91"/>
  <c r="D62" i="91"/>
  <c r="D61" i="91"/>
  <c r="D60" i="91"/>
  <c r="D59" i="91"/>
  <c r="D58" i="91"/>
  <c r="D57" i="91"/>
  <c r="D56" i="91"/>
  <c r="D55" i="91"/>
  <c r="D54" i="91"/>
  <c r="D53" i="91"/>
  <c r="D52" i="91"/>
  <c r="D51" i="91"/>
  <c r="D50" i="91"/>
  <c r="D49" i="91"/>
  <c r="D48" i="91"/>
  <c r="D47" i="91"/>
  <c r="D46" i="91"/>
  <c r="D45" i="91"/>
  <c r="D44" i="91"/>
  <c r="D43" i="91"/>
  <c r="D42" i="91"/>
  <c r="D41" i="91"/>
  <c r="D40" i="91"/>
  <c r="D39" i="91"/>
  <c r="D38" i="91"/>
  <c r="D37" i="91"/>
  <c r="D36" i="91"/>
  <c r="D35" i="91"/>
  <c r="D34" i="91"/>
  <c r="D33" i="91"/>
  <c r="D32" i="91"/>
  <c r="D31" i="91"/>
  <c r="D30" i="91"/>
  <c r="D29" i="91"/>
  <c r="D28" i="91"/>
  <c r="D27" i="91"/>
  <c r="D26" i="91"/>
  <c r="D25" i="91"/>
  <c r="D24" i="91"/>
  <c r="D23" i="91"/>
  <c r="D22" i="91"/>
  <c r="D21" i="91"/>
  <c r="D20" i="91"/>
  <c r="D19" i="91"/>
  <c r="D18" i="91"/>
  <c r="D17" i="91"/>
  <c r="D12" i="91"/>
  <c r="D11" i="91"/>
  <c r="D10" i="91"/>
  <c r="D9" i="91"/>
  <c r="D8" i="91"/>
  <c r="D7" i="91"/>
  <c r="D6" i="91"/>
  <c r="D5" i="91"/>
  <c r="D4" i="91"/>
  <c r="D79" i="90"/>
  <c r="D78" i="90"/>
  <c r="D77" i="90"/>
  <c r="D76" i="90"/>
  <c r="D75" i="90"/>
  <c r="D74" i="90"/>
  <c r="D73" i="90"/>
  <c r="D72" i="90"/>
  <c r="D71" i="90"/>
  <c r="D70" i="90"/>
  <c r="D69" i="90"/>
  <c r="D68" i="90"/>
  <c r="D67" i="90"/>
  <c r="D66" i="90"/>
  <c r="D65" i="90"/>
  <c r="D64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0" i="90"/>
  <c r="D19" i="90"/>
  <c r="D18" i="90"/>
  <c r="D17" i="90"/>
  <c r="D16" i="90"/>
  <c r="D15" i="90"/>
  <c r="D14" i="90"/>
  <c r="D13" i="90"/>
  <c r="D12" i="90"/>
  <c r="D11" i="90"/>
  <c r="D10" i="90"/>
  <c r="D9" i="90"/>
  <c r="D8" i="90"/>
  <c r="D7" i="90"/>
  <c r="D6" i="90"/>
  <c r="D5" i="90"/>
  <c r="D4" i="90"/>
  <c r="D80" i="89"/>
  <c r="D79" i="89"/>
  <c r="D78" i="89"/>
  <c r="D77" i="89"/>
  <c r="D76" i="89"/>
  <c r="D75" i="89"/>
  <c r="D74" i="89"/>
  <c r="D73" i="89"/>
  <c r="D72" i="89"/>
  <c r="D71" i="89"/>
  <c r="D70" i="89"/>
  <c r="D69" i="89"/>
  <c r="D68" i="89"/>
  <c r="D67" i="89"/>
  <c r="D66" i="89"/>
  <c r="D65" i="89"/>
  <c r="D64" i="89"/>
  <c r="D63" i="89"/>
  <c r="D62" i="89"/>
  <c r="D61" i="89"/>
  <c r="D60" i="89"/>
  <c r="D59" i="89"/>
  <c r="D58" i="89"/>
  <c r="D57" i="89"/>
  <c r="D56" i="89"/>
  <c r="D55" i="89"/>
  <c r="D54" i="89"/>
  <c r="D53" i="89"/>
  <c r="D52" i="89"/>
  <c r="D51" i="89"/>
  <c r="D50" i="89"/>
  <c r="D49" i="89"/>
  <c r="D48" i="89"/>
  <c r="D47" i="89"/>
  <c r="D46" i="89"/>
  <c r="D45" i="89"/>
  <c r="D44" i="89"/>
  <c r="D43" i="89"/>
  <c r="D42" i="89"/>
  <c r="D41" i="89"/>
  <c r="D40" i="89"/>
  <c r="D39" i="89"/>
  <c r="D38" i="89"/>
  <c r="D37" i="89"/>
  <c r="D36" i="89"/>
  <c r="D35" i="89"/>
  <c r="D34" i="89"/>
  <c r="D33" i="89"/>
  <c r="D32" i="89"/>
  <c r="D31" i="89"/>
  <c r="D30" i="89"/>
  <c r="D29" i="89"/>
  <c r="D28" i="89"/>
  <c r="D27" i="89"/>
  <c r="D26" i="89"/>
  <c r="D25" i="89"/>
  <c r="D24" i="89"/>
  <c r="D23" i="89"/>
  <c r="D18" i="89"/>
  <c r="D17" i="89"/>
  <c r="D16" i="89"/>
  <c r="D15" i="89"/>
  <c r="D14" i="89"/>
  <c r="D13" i="89"/>
  <c r="D12" i="89"/>
  <c r="D11" i="89"/>
  <c r="D10" i="89"/>
  <c r="D9" i="89"/>
  <c r="D8" i="89"/>
  <c r="D7" i="89"/>
  <c r="D6" i="89"/>
  <c r="D5" i="89"/>
  <c r="D4" i="89"/>
  <c r="D80" i="88"/>
  <c r="D79" i="88"/>
  <c r="D78" i="88"/>
  <c r="D77" i="88"/>
  <c r="D76" i="88"/>
  <c r="D75" i="88"/>
  <c r="D74" i="88"/>
  <c r="D73" i="88"/>
  <c r="D72" i="88"/>
  <c r="D71" i="88"/>
  <c r="D70" i="88"/>
  <c r="D69" i="88"/>
  <c r="D68" i="88"/>
  <c r="D67" i="88"/>
  <c r="D66" i="88"/>
  <c r="D65" i="88"/>
  <c r="D64" i="88"/>
  <c r="D63" i="88"/>
  <c r="D62" i="88"/>
  <c r="D61" i="88"/>
  <c r="D60" i="88"/>
  <c r="D59" i="88"/>
  <c r="D58" i="88"/>
  <c r="D57" i="88"/>
  <c r="D56" i="88"/>
  <c r="D55" i="88"/>
  <c r="D54" i="88"/>
  <c r="D53" i="88"/>
  <c r="D52" i="88"/>
  <c r="D51" i="88"/>
  <c r="D50" i="88"/>
  <c r="D49" i="88"/>
  <c r="D48" i="88"/>
  <c r="D47" i="88"/>
  <c r="D46" i="88"/>
  <c r="D45" i="88"/>
  <c r="D44" i="88"/>
  <c r="D43" i="88"/>
  <c r="D42" i="88"/>
  <c r="D41" i="88"/>
  <c r="D40" i="88"/>
  <c r="D39" i="88"/>
  <c r="D38" i="88"/>
  <c r="D37" i="88"/>
  <c r="D36" i="88"/>
  <c r="D35" i="88"/>
  <c r="D34" i="88"/>
  <c r="D33" i="88"/>
  <c r="D32" i="88"/>
  <c r="D31" i="88"/>
  <c r="D30" i="88"/>
  <c r="D29" i="88"/>
  <c r="D28" i="88"/>
  <c r="D27" i="88"/>
  <c r="D26" i="88"/>
  <c r="D25" i="88"/>
  <c r="D24" i="88"/>
  <c r="D23" i="88"/>
  <c r="D22" i="88"/>
  <c r="D17" i="88"/>
  <c r="D16" i="88"/>
  <c r="D15" i="88"/>
  <c r="D14" i="88"/>
  <c r="D13" i="88"/>
  <c r="D12" i="88"/>
  <c r="D11" i="88"/>
  <c r="D10" i="88"/>
  <c r="D9" i="88"/>
  <c r="D8" i="88"/>
  <c r="D7" i="88"/>
  <c r="D6" i="88"/>
  <c r="D5" i="88"/>
  <c r="D4" i="88"/>
  <c r="D80" i="87"/>
  <c r="D79" i="87"/>
  <c r="D78" i="87"/>
  <c r="D77" i="87"/>
  <c r="D76" i="87"/>
  <c r="D75" i="87"/>
  <c r="D74" i="87"/>
  <c r="D73" i="87"/>
  <c r="D72" i="87"/>
  <c r="D71" i="87"/>
  <c r="D70" i="87"/>
  <c r="D69" i="87"/>
  <c r="D68" i="87"/>
  <c r="D67" i="87"/>
  <c r="D66" i="87"/>
  <c r="D65" i="87"/>
  <c r="D64" i="87"/>
  <c r="D63" i="87"/>
  <c r="D62" i="87"/>
  <c r="D61" i="87"/>
  <c r="D60" i="87"/>
  <c r="D59" i="87"/>
  <c r="D58" i="87"/>
  <c r="D57" i="87"/>
  <c r="D56" i="87"/>
  <c r="D55" i="87"/>
  <c r="D54" i="87"/>
  <c r="D53" i="87"/>
  <c r="D52" i="87"/>
  <c r="D51" i="87"/>
  <c r="D50" i="87"/>
  <c r="D49" i="87"/>
  <c r="D48" i="87"/>
  <c r="D47" i="87"/>
  <c r="D46" i="87"/>
  <c r="D45" i="87"/>
  <c r="D44" i="87"/>
  <c r="D43" i="87"/>
  <c r="D42" i="87"/>
  <c r="D41" i="87"/>
  <c r="D40" i="87"/>
  <c r="D39" i="87"/>
  <c r="D38" i="87"/>
  <c r="D37" i="87"/>
  <c r="D36" i="87"/>
  <c r="D35" i="87"/>
  <c r="D34" i="87"/>
  <c r="D33" i="87"/>
  <c r="D32" i="87"/>
  <c r="D31" i="87"/>
  <c r="D30" i="87"/>
  <c r="D29" i="87"/>
  <c r="D28" i="87"/>
  <c r="D27" i="87"/>
  <c r="D26" i="87"/>
  <c r="D25" i="87"/>
  <c r="D24" i="87"/>
  <c r="D23" i="87"/>
  <c r="D18" i="87"/>
  <c r="D17" i="87"/>
  <c r="D16" i="87"/>
  <c r="D15" i="87"/>
  <c r="D14" i="87"/>
  <c r="D13" i="87"/>
  <c r="D12" i="87"/>
  <c r="D11" i="87"/>
  <c r="D10" i="87"/>
  <c r="D9" i="87"/>
  <c r="D8" i="87"/>
  <c r="D7" i="87"/>
  <c r="D6" i="87"/>
  <c r="D5" i="87"/>
  <c r="D4" i="87"/>
  <c r="D80" i="86"/>
  <c r="D79" i="86"/>
  <c r="D78" i="86"/>
  <c r="D77" i="86"/>
  <c r="D76" i="86"/>
  <c r="D75" i="86"/>
  <c r="D74" i="86"/>
  <c r="D73" i="86"/>
  <c r="D72" i="86"/>
  <c r="D71" i="86"/>
  <c r="D70" i="86"/>
  <c r="D69" i="86"/>
  <c r="D68" i="86"/>
  <c r="D67" i="86"/>
  <c r="D66" i="86"/>
  <c r="D65" i="86"/>
  <c r="D64" i="86"/>
  <c r="D63" i="86"/>
  <c r="D62" i="86"/>
  <c r="D61" i="86"/>
  <c r="D60" i="86"/>
  <c r="D59" i="86"/>
  <c r="D58" i="86"/>
  <c r="D57" i="86"/>
  <c r="D56" i="86"/>
  <c r="D55" i="86"/>
  <c r="D54" i="86"/>
  <c r="D53" i="86"/>
  <c r="D52" i="86"/>
  <c r="D51" i="86"/>
  <c r="D50" i="86"/>
  <c r="D49" i="86"/>
  <c r="D48" i="86"/>
  <c r="D47" i="86"/>
  <c r="D46" i="86"/>
  <c r="D45" i="86"/>
  <c r="D44" i="86"/>
  <c r="D43" i="86"/>
  <c r="D42" i="86"/>
  <c r="D41" i="86"/>
  <c r="D40" i="86"/>
  <c r="D39" i="86"/>
  <c r="D38" i="86"/>
  <c r="D37" i="86"/>
  <c r="D36" i="86"/>
  <c r="D35" i="86"/>
  <c r="D34" i="86"/>
  <c r="D33" i="86"/>
  <c r="D32" i="86"/>
  <c r="D31" i="86"/>
  <c r="D30" i="86"/>
  <c r="D29" i="86"/>
  <c r="D28" i="86"/>
  <c r="D27" i="86"/>
  <c r="D26" i="86"/>
  <c r="D25" i="86"/>
  <c r="D24" i="86"/>
  <c r="D23" i="86"/>
  <c r="D22" i="86"/>
  <c r="D21" i="86"/>
  <c r="D20" i="86"/>
  <c r="D19" i="86"/>
  <c r="D18" i="86"/>
  <c r="D17" i="86"/>
  <c r="D16" i="86"/>
  <c r="D15" i="86"/>
  <c r="D14" i="86"/>
  <c r="D13" i="86"/>
  <c r="D12" i="86"/>
  <c r="D11" i="86"/>
  <c r="D10" i="86"/>
  <c r="D9" i="86"/>
  <c r="D8" i="86"/>
  <c r="D7" i="86"/>
  <c r="D6" i="86"/>
  <c r="D5" i="86"/>
  <c r="D4" i="86"/>
  <c r="D80" i="85"/>
  <c r="D79" i="85"/>
  <c r="D78" i="85"/>
  <c r="D77" i="85"/>
  <c r="D76" i="85"/>
  <c r="D75" i="85"/>
  <c r="D74" i="85"/>
  <c r="D73" i="85"/>
  <c r="D72" i="85"/>
  <c r="D71" i="85"/>
  <c r="D70" i="85"/>
  <c r="D69" i="85"/>
  <c r="D68" i="85"/>
  <c r="D67" i="85"/>
  <c r="D66" i="85"/>
  <c r="D65" i="85"/>
  <c r="D64" i="85"/>
  <c r="D63" i="85"/>
  <c r="D62" i="85"/>
  <c r="D61" i="85"/>
  <c r="D60" i="85"/>
  <c r="D59" i="85"/>
  <c r="D58" i="85"/>
  <c r="D57" i="85"/>
  <c r="D56" i="85"/>
  <c r="D55" i="85"/>
  <c r="D54" i="85"/>
  <c r="D53" i="85"/>
  <c r="D52" i="85"/>
  <c r="D51" i="85"/>
  <c r="D50" i="85"/>
  <c r="D49" i="85"/>
  <c r="D48" i="85"/>
  <c r="D47" i="85"/>
  <c r="D46" i="85"/>
  <c r="D45" i="85"/>
  <c r="D44" i="85"/>
  <c r="D43" i="85"/>
  <c r="D42" i="85"/>
  <c r="D41" i="85"/>
  <c r="D40" i="85"/>
  <c r="D39" i="85"/>
  <c r="D38" i="85"/>
  <c r="D37" i="85"/>
  <c r="D36" i="85"/>
  <c r="D35" i="85"/>
  <c r="D34" i="85"/>
  <c r="D33" i="85"/>
  <c r="D32" i="85"/>
  <c r="D31" i="85"/>
  <c r="D30" i="85"/>
  <c r="D29" i="85"/>
  <c r="D28" i="85"/>
  <c r="D27" i="85"/>
  <c r="D26" i="85"/>
  <c r="D25" i="85"/>
  <c r="D24" i="85"/>
  <c r="D19" i="85"/>
  <c r="D18" i="85"/>
  <c r="D17" i="85"/>
  <c r="D16" i="85"/>
  <c r="D15" i="85"/>
  <c r="D14" i="85"/>
  <c r="D13" i="85"/>
  <c r="D12" i="85"/>
  <c r="D11" i="85"/>
  <c r="D10" i="85"/>
  <c r="D9" i="85"/>
  <c r="D8" i="85"/>
  <c r="D7" i="85"/>
  <c r="D6" i="85"/>
  <c r="D5" i="85"/>
  <c r="D4" i="85"/>
  <c r="D80" i="84"/>
  <c r="D79" i="84"/>
  <c r="D78" i="84"/>
  <c r="D77" i="84"/>
  <c r="D76" i="84"/>
  <c r="D75" i="84"/>
  <c r="D74" i="84"/>
  <c r="D73" i="84"/>
  <c r="D72" i="84"/>
  <c r="D71" i="84"/>
  <c r="D70" i="84"/>
  <c r="D69" i="84"/>
  <c r="D68" i="84"/>
  <c r="D67" i="84"/>
  <c r="D66" i="84"/>
  <c r="D65" i="84"/>
  <c r="D64" i="84"/>
  <c r="D63" i="84"/>
  <c r="D62" i="84"/>
  <c r="D61" i="84"/>
  <c r="D60" i="84"/>
  <c r="D59" i="84"/>
  <c r="D58" i="84"/>
  <c r="D57" i="84"/>
  <c r="D56" i="84"/>
  <c r="D55" i="84"/>
  <c r="D54" i="84"/>
  <c r="D53" i="84"/>
  <c r="D52" i="84"/>
  <c r="D51" i="84"/>
  <c r="D50" i="84"/>
  <c r="D49" i="84"/>
  <c r="D48" i="84"/>
  <c r="D47" i="84"/>
  <c r="D46" i="84"/>
  <c r="D45" i="84"/>
  <c r="D44" i="84"/>
  <c r="D43" i="84"/>
  <c r="D42" i="84"/>
  <c r="D41" i="84"/>
  <c r="D40" i="84"/>
  <c r="D39" i="84"/>
  <c r="D38" i="84"/>
  <c r="D37" i="84"/>
  <c r="D36" i="84"/>
  <c r="D35" i="84"/>
  <c r="D34" i="84"/>
  <c r="D33" i="84"/>
  <c r="D32" i="84"/>
  <c r="D31" i="84"/>
  <c r="D30" i="84"/>
  <c r="D29" i="84"/>
  <c r="D28" i="84"/>
  <c r="D27" i="84"/>
  <c r="D26" i="84"/>
  <c r="D25" i="84"/>
  <c r="D24" i="84"/>
  <c r="D23" i="84"/>
  <c r="D22" i="84"/>
  <c r="D21" i="84"/>
  <c r="D20" i="84"/>
  <c r="D19" i="84"/>
  <c r="D18" i="84"/>
  <c r="D17" i="84"/>
  <c r="D16" i="84"/>
  <c r="D15" i="84"/>
  <c r="D14" i="84"/>
  <c r="D9" i="84"/>
  <c r="D8" i="84"/>
  <c r="D7" i="84"/>
  <c r="D6" i="84"/>
  <c r="D5" i="84"/>
  <c r="D4" i="84"/>
  <c r="D80" i="83"/>
  <c r="D79" i="83"/>
  <c r="D78" i="83"/>
  <c r="D77" i="83"/>
  <c r="D76" i="83"/>
  <c r="D75" i="83"/>
  <c r="D74" i="83"/>
  <c r="D73" i="83"/>
  <c r="D72" i="83"/>
  <c r="D71" i="83"/>
  <c r="D70" i="83"/>
  <c r="D69" i="83"/>
  <c r="D68" i="83"/>
  <c r="D67" i="83"/>
  <c r="D66" i="83"/>
  <c r="D65" i="83"/>
  <c r="D64" i="83"/>
  <c r="D63" i="83"/>
  <c r="D62" i="83"/>
  <c r="D61" i="83"/>
  <c r="D60" i="83"/>
  <c r="D59" i="83"/>
  <c r="D58" i="83"/>
  <c r="D57" i="83"/>
  <c r="D56" i="83"/>
  <c r="D55" i="83"/>
  <c r="D54" i="83"/>
  <c r="D53" i="83"/>
  <c r="D52" i="83"/>
  <c r="D51" i="83"/>
  <c r="D50" i="83"/>
  <c r="D49" i="83"/>
  <c r="D48" i="83"/>
  <c r="D47" i="83"/>
  <c r="D46" i="83"/>
  <c r="D45" i="83"/>
  <c r="D44" i="83"/>
  <c r="D43" i="83"/>
  <c r="D42" i="83"/>
  <c r="D41" i="83"/>
  <c r="D40" i="83"/>
  <c r="D39" i="83"/>
  <c r="D38" i="83"/>
  <c r="D37" i="83"/>
  <c r="D36" i="83"/>
  <c r="D35" i="83"/>
  <c r="D34" i="83"/>
  <c r="D33" i="83"/>
  <c r="D32" i="83"/>
  <c r="D31" i="83"/>
  <c r="D30" i="83"/>
  <c r="D29" i="83"/>
  <c r="D28" i="83"/>
  <c r="D27" i="83"/>
  <c r="D26" i="83"/>
  <c r="D25" i="83"/>
  <c r="D24" i="83"/>
  <c r="D23" i="83"/>
  <c r="D22" i="83"/>
  <c r="D21" i="83"/>
  <c r="D20" i="83"/>
  <c r="D19" i="83"/>
  <c r="D15" i="83"/>
  <c r="D14" i="83"/>
  <c r="D13" i="83"/>
  <c r="D12" i="83"/>
  <c r="D11" i="83"/>
  <c r="D10" i="83"/>
  <c r="D9" i="83"/>
  <c r="D8" i="83"/>
  <c r="D7" i="83"/>
  <c r="D6" i="83"/>
  <c r="D5" i="83"/>
  <c r="D4" i="83"/>
  <c r="D79" i="82"/>
  <c r="D78" i="82"/>
  <c r="D77" i="82"/>
  <c r="D76" i="82"/>
  <c r="D75" i="82"/>
  <c r="D74" i="82"/>
  <c r="D73" i="82"/>
  <c r="D72" i="82"/>
  <c r="D71" i="82"/>
  <c r="D70" i="82"/>
  <c r="D69" i="82"/>
  <c r="D68" i="82"/>
  <c r="D67" i="82"/>
  <c r="D66" i="82"/>
  <c r="D65" i="82"/>
  <c r="D64" i="82"/>
  <c r="D63" i="82"/>
  <c r="D62" i="82"/>
  <c r="D61" i="82"/>
  <c r="D60" i="82"/>
  <c r="D59" i="82"/>
  <c r="D58" i="82"/>
  <c r="D57" i="82"/>
  <c r="D56" i="82"/>
  <c r="D55" i="82"/>
  <c r="D54" i="82"/>
  <c r="D53" i="82"/>
  <c r="D52" i="82"/>
  <c r="D51" i="82"/>
  <c r="D50" i="82"/>
  <c r="D49" i="82"/>
  <c r="D48" i="82"/>
  <c r="D47" i="82"/>
  <c r="D46" i="82"/>
  <c r="D45" i="82"/>
  <c r="D44" i="82"/>
  <c r="D43" i="82"/>
  <c r="D42" i="82"/>
  <c r="D41" i="82"/>
  <c r="D40" i="82"/>
  <c r="D39" i="82"/>
  <c r="D38" i="82"/>
  <c r="D37" i="82"/>
  <c r="D36" i="82"/>
  <c r="D35" i="82"/>
  <c r="D34" i="82"/>
  <c r="D33" i="82"/>
  <c r="D32" i="82"/>
  <c r="D31" i="82"/>
  <c r="D30" i="82"/>
  <c r="D29" i="82"/>
  <c r="D28" i="82"/>
  <c r="D27" i="82"/>
  <c r="D26" i="82"/>
  <c r="D25" i="82"/>
  <c r="D20" i="82"/>
  <c r="D19" i="82"/>
  <c r="D18" i="82"/>
  <c r="D17" i="82"/>
  <c r="D16" i="82"/>
  <c r="D15" i="82"/>
  <c r="D14" i="82"/>
  <c r="D13" i="82"/>
  <c r="D12" i="82"/>
  <c r="D11" i="82"/>
  <c r="D10" i="82"/>
  <c r="D9" i="82"/>
  <c r="D8" i="82"/>
  <c r="D7" i="82"/>
  <c r="D6" i="82"/>
  <c r="D5" i="82"/>
  <c r="D4" i="82"/>
  <c r="D79" i="81"/>
  <c r="D78" i="81"/>
  <c r="D77" i="81"/>
  <c r="D76" i="81"/>
  <c r="D75" i="81"/>
  <c r="D74" i="81"/>
  <c r="D73" i="81"/>
  <c r="D72" i="81"/>
  <c r="D71" i="81"/>
  <c r="D70" i="81"/>
  <c r="D69" i="81"/>
  <c r="D68" i="81"/>
  <c r="D67" i="81"/>
  <c r="D66" i="81"/>
  <c r="D65" i="81"/>
  <c r="D64" i="81"/>
  <c r="D63" i="81"/>
  <c r="D62" i="81"/>
  <c r="D61" i="81"/>
  <c r="D60" i="81"/>
  <c r="D59" i="81"/>
  <c r="D58" i="81"/>
  <c r="D57" i="81"/>
  <c r="D56" i="81"/>
  <c r="D55" i="81"/>
  <c r="D54" i="81"/>
  <c r="D53" i="81"/>
  <c r="D52" i="81"/>
  <c r="D51" i="81"/>
  <c r="D50" i="81"/>
  <c r="D49" i="81"/>
  <c r="D48" i="81"/>
  <c r="D47" i="81"/>
  <c r="D46" i="81"/>
  <c r="D45" i="81"/>
  <c r="D44" i="81"/>
  <c r="D43" i="81"/>
  <c r="D42" i="81"/>
  <c r="D41" i="81"/>
  <c r="D40" i="81"/>
  <c r="D39" i="81"/>
  <c r="D38" i="81"/>
  <c r="D37" i="81"/>
  <c r="D36" i="81"/>
  <c r="D35" i="81"/>
  <c r="D34" i="81"/>
  <c r="D33" i="81"/>
  <c r="D32" i="81"/>
  <c r="D31" i="81"/>
  <c r="D30" i="81"/>
  <c r="D27" i="81"/>
  <c r="D26" i="81"/>
  <c r="D25" i="81"/>
  <c r="D24" i="81"/>
  <c r="D23" i="81"/>
  <c r="D22" i="81"/>
  <c r="D17" i="81"/>
  <c r="D16" i="81"/>
  <c r="D15" i="81"/>
  <c r="D14" i="81"/>
  <c r="D13" i="81"/>
  <c r="D12" i="81"/>
  <c r="D11" i="81"/>
  <c r="D10" i="81"/>
  <c r="D9" i="81"/>
  <c r="D8" i="81"/>
  <c r="D7" i="81"/>
  <c r="D6" i="81"/>
  <c r="D5" i="81"/>
  <c r="D4" i="81"/>
  <c r="D80" i="80"/>
  <c r="D79" i="80"/>
  <c r="D78" i="80"/>
  <c r="D77" i="80"/>
  <c r="D76" i="80"/>
  <c r="D75" i="80"/>
  <c r="D74" i="80"/>
  <c r="D73" i="80"/>
  <c r="D72" i="80"/>
  <c r="D71" i="80"/>
  <c r="D70" i="80"/>
  <c r="D69" i="80"/>
  <c r="D68" i="80"/>
  <c r="D67" i="80"/>
  <c r="D66" i="80"/>
  <c r="D65" i="80"/>
  <c r="D64" i="80"/>
  <c r="D63" i="80"/>
  <c r="D62" i="80"/>
  <c r="D61" i="80"/>
  <c r="D60" i="80"/>
  <c r="D59" i="80"/>
  <c r="D58" i="80"/>
  <c r="D57" i="80"/>
  <c r="D56" i="80"/>
  <c r="D55" i="80"/>
  <c r="D54" i="80"/>
  <c r="D53" i="80"/>
  <c r="D52" i="80"/>
  <c r="D51" i="80"/>
  <c r="D50" i="80"/>
  <c r="D49" i="80"/>
  <c r="D48" i="80"/>
  <c r="D47" i="80"/>
  <c r="D46" i="80"/>
  <c r="D45" i="80"/>
  <c r="D44" i="80"/>
  <c r="D43" i="80"/>
  <c r="D42" i="80"/>
  <c r="D41" i="80"/>
  <c r="D40" i="80"/>
  <c r="D39" i="80"/>
  <c r="D38" i="80"/>
  <c r="D37" i="80"/>
  <c r="D36" i="80"/>
  <c r="D35" i="80"/>
  <c r="D34" i="80"/>
  <c r="D33" i="80"/>
  <c r="D32" i="80"/>
  <c r="D31" i="80"/>
  <c r="D30" i="80"/>
  <c r="D29" i="80"/>
  <c r="D28" i="80"/>
  <c r="D27" i="80"/>
  <c r="D26" i="80"/>
  <c r="D25" i="80"/>
  <c r="D24" i="80"/>
  <c r="D23" i="80"/>
  <c r="D22" i="80"/>
  <c r="D17" i="80"/>
  <c r="D16" i="80"/>
  <c r="D15" i="80"/>
  <c r="D14" i="80"/>
  <c r="D13" i="80"/>
  <c r="D12" i="80"/>
  <c r="D11" i="80"/>
  <c r="D10" i="80"/>
  <c r="D9" i="80"/>
  <c r="D8" i="80"/>
  <c r="D7" i="80"/>
  <c r="D6" i="80"/>
  <c r="D5" i="80"/>
  <c r="D4" i="80"/>
  <c r="D79" i="79"/>
  <c r="D78" i="79"/>
  <c r="D77" i="79"/>
  <c r="D76" i="79"/>
  <c r="D75" i="79"/>
  <c r="D74" i="79"/>
  <c r="D73" i="79"/>
  <c r="D72" i="79"/>
  <c r="D71" i="79"/>
  <c r="D70" i="79"/>
  <c r="D69" i="79"/>
  <c r="D68" i="79"/>
  <c r="D67" i="79"/>
  <c r="D66" i="79"/>
  <c r="D65" i="79"/>
  <c r="D64" i="79"/>
  <c r="D63" i="79"/>
  <c r="D62" i="79"/>
  <c r="D61" i="79"/>
  <c r="D60" i="79"/>
  <c r="D59" i="79"/>
  <c r="D58" i="79"/>
  <c r="D57" i="79"/>
  <c r="D56" i="79"/>
  <c r="D55" i="79"/>
  <c r="D54" i="79"/>
  <c r="D53" i="79"/>
  <c r="D52" i="79"/>
  <c r="D51" i="79"/>
  <c r="D50" i="79"/>
  <c r="D49" i="79"/>
  <c r="D48" i="79"/>
  <c r="D47" i="79"/>
  <c r="D46" i="79"/>
  <c r="D45" i="79"/>
  <c r="D44" i="79"/>
  <c r="D43" i="79"/>
  <c r="D42" i="79"/>
  <c r="D41" i="79"/>
  <c r="D40" i="79"/>
  <c r="D39" i="79"/>
  <c r="D38" i="79"/>
  <c r="D37" i="79"/>
  <c r="D36" i="79"/>
  <c r="D35" i="79"/>
  <c r="D34" i="79"/>
  <c r="D33" i="79"/>
  <c r="D32" i="79"/>
  <c r="D31" i="79"/>
  <c r="D30" i="79"/>
  <c r="D29" i="79"/>
  <c r="D28" i="79"/>
  <c r="D27" i="79"/>
  <c r="D26" i="79"/>
  <c r="D25" i="79"/>
  <c r="D24" i="79"/>
  <c r="D23" i="79"/>
  <c r="D22" i="79"/>
  <c r="D21" i="79"/>
  <c r="D16" i="79"/>
  <c r="D15" i="79"/>
  <c r="D14" i="79"/>
  <c r="D13" i="79"/>
  <c r="D12" i="79"/>
  <c r="D11" i="79"/>
  <c r="D10" i="79"/>
  <c r="D9" i="79"/>
  <c r="D8" i="79"/>
  <c r="D7" i="79"/>
  <c r="D6" i="79"/>
  <c r="D5" i="79"/>
  <c r="D4" i="79"/>
  <c r="D79" i="78"/>
  <c r="D78" i="78"/>
  <c r="D77" i="78"/>
  <c r="D76" i="78"/>
  <c r="D75" i="78"/>
  <c r="D74" i="78"/>
  <c r="D73" i="78"/>
  <c r="D72" i="78"/>
  <c r="D71" i="78"/>
  <c r="D70" i="78"/>
  <c r="D69" i="78"/>
  <c r="D68" i="78"/>
  <c r="D67" i="78"/>
  <c r="D66" i="78"/>
  <c r="D65" i="78"/>
  <c r="D64" i="78"/>
  <c r="D63" i="78"/>
  <c r="D62" i="78"/>
  <c r="D61" i="78"/>
  <c r="D60" i="78"/>
  <c r="D59" i="78"/>
  <c r="D58" i="78"/>
  <c r="D57" i="78"/>
  <c r="D56" i="78"/>
  <c r="D55" i="78"/>
  <c r="D54" i="78"/>
  <c r="D53" i="78"/>
  <c r="D52" i="78"/>
  <c r="D51" i="78"/>
  <c r="D50" i="78"/>
  <c r="D49" i="78"/>
  <c r="D48" i="78"/>
  <c r="D47" i="78"/>
  <c r="D46" i="78"/>
  <c r="D45" i="78"/>
  <c r="D44" i="78"/>
  <c r="D43" i="78"/>
  <c r="D42" i="78"/>
  <c r="D41" i="78"/>
  <c r="D40" i="78"/>
  <c r="D39" i="78"/>
  <c r="D38" i="78"/>
  <c r="D37" i="78"/>
  <c r="D36" i="78"/>
  <c r="D35" i="78"/>
  <c r="D34" i="78"/>
  <c r="D33" i="78"/>
  <c r="D32" i="78"/>
  <c r="D31" i="78"/>
  <c r="D30" i="78"/>
  <c r="D29" i="78"/>
  <c r="D28" i="78"/>
  <c r="D27" i="78"/>
  <c r="D26" i="78"/>
  <c r="D25" i="78"/>
  <c r="D20" i="78"/>
  <c r="D19" i="78"/>
  <c r="D18" i="78"/>
  <c r="D17" i="78"/>
  <c r="D16" i="78"/>
  <c r="D15" i="78"/>
  <c r="D14" i="78"/>
  <c r="D13" i="78"/>
  <c r="D12" i="78"/>
  <c r="D11" i="78"/>
  <c r="D10" i="78"/>
  <c r="D9" i="78"/>
  <c r="D8" i="78"/>
  <c r="D7" i="78"/>
  <c r="D6" i="78"/>
  <c r="D5" i="78"/>
  <c r="D4" i="78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79" i="76"/>
  <c r="D78" i="76"/>
  <c r="D77" i="76"/>
  <c r="D76" i="76"/>
  <c r="D75" i="76"/>
  <c r="D74" i="76"/>
  <c r="D73" i="76"/>
  <c r="D72" i="76"/>
  <c r="D71" i="76"/>
  <c r="D70" i="76"/>
  <c r="D69" i="76"/>
  <c r="D68" i="76"/>
  <c r="D67" i="76"/>
  <c r="D66" i="76"/>
  <c r="D65" i="76"/>
  <c r="D64" i="76"/>
  <c r="D63" i="76"/>
  <c r="D62" i="76"/>
  <c r="D61" i="76"/>
  <c r="D60" i="76"/>
  <c r="D59" i="76"/>
  <c r="D58" i="76"/>
  <c r="D57" i="76"/>
  <c r="D56" i="76"/>
  <c r="D55" i="76"/>
  <c r="D54" i="76"/>
  <c r="D53" i="76"/>
  <c r="D52" i="76"/>
  <c r="D51" i="76"/>
  <c r="D50" i="76"/>
  <c r="D49" i="76"/>
  <c r="D48" i="76"/>
  <c r="D47" i="76"/>
  <c r="D46" i="76"/>
  <c r="D45" i="76"/>
  <c r="D44" i="76"/>
  <c r="D43" i="76"/>
  <c r="D42" i="76"/>
  <c r="D41" i="76"/>
  <c r="D40" i="76"/>
  <c r="D39" i="76"/>
  <c r="D38" i="76"/>
  <c r="D37" i="76"/>
  <c r="D36" i="76"/>
  <c r="D35" i="76"/>
  <c r="D34" i="76"/>
  <c r="D33" i="76"/>
  <c r="D32" i="76"/>
  <c r="D31" i="76"/>
  <c r="D30" i="76"/>
  <c r="D29" i="76"/>
  <c r="D28" i="76"/>
  <c r="D27" i="76"/>
  <c r="D26" i="76"/>
  <c r="D25" i="76"/>
  <c r="D24" i="76"/>
  <c r="D23" i="76"/>
  <c r="D22" i="76"/>
  <c r="D17" i="76"/>
  <c r="D16" i="76"/>
  <c r="D15" i="76"/>
  <c r="D14" i="76"/>
  <c r="D13" i="76"/>
  <c r="D12" i="76"/>
  <c r="D11" i="76"/>
  <c r="D10" i="76"/>
  <c r="D9" i="76"/>
  <c r="D8" i="76"/>
  <c r="D7" i="76"/>
  <c r="D6" i="76"/>
  <c r="D5" i="76"/>
  <c r="D4" i="76"/>
  <c r="D79" i="75"/>
  <c r="D78" i="75"/>
  <c r="D77" i="75"/>
  <c r="D76" i="75"/>
  <c r="D75" i="75"/>
  <c r="D74" i="75"/>
  <c r="D73" i="75"/>
  <c r="D72" i="75"/>
  <c r="D71" i="75"/>
  <c r="D70" i="75"/>
  <c r="D69" i="75"/>
  <c r="D68" i="75"/>
  <c r="D67" i="75"/>
  <c r="D66" i="75"/>
  <c r="D65" i="75"/>
  <c r="D64" i="75"/>
  <c r="D63" i="75"/>
  <c r="D62" i="75"/>
  <c r="D61" i="75"/>
  <c r="D60" i="75"/>
  <c r="D59" i="75"/>
  <c r="D58" i="75"/>
  <c r="D57" i="75"/>
  <c r="D56" i="75"/>
  <c r="D55" i="75"/>
  <c r="D54" i="75"/>
  <c r="D53" i="75"/>
  <c r="D52" i="75"/>
  <c r="D51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0" i="75"/>
  <c r="D19" i="75"/>
  <c r="D18" i="75"/>
  <c r="D17" i="75"/>
  <c r="D16" i="75"/>
  <c r="D15" i="75"/>
  <c r="D14" i="75"/>
  <c r="D13" i="75"/>
  <c r="D12" i="75"/>
  <c r="D11" i="75"/>
  <c r="D10" i="75"/>
  <c r="D9" i="75"/>
  <c r="D8" i="75"/>
  <c r="D7" i="75"/>
  <c r="D6" i="75"/>
  <c r="D5" i="75"/>
  <c r="D4" i="75"/>
  <c r="D79" i="74"/>
  <c r="D78" i="74"/>
  <c r="D77" i="74"/>
  <c r="D76" i="74"/>
  <c r="D75" i="74"/>
  <c r="D74" i="74"/>
  <c r="D73" i="74"/>
  <c r="D72" i="74"/>
  <c r="D71" i="74"/>
  <c r="D70" i="74"/>
  <c r="D69" i="74"/>
  <c r="D68" i="74"/>
  <c r="D67" i="74"/>
  <c r="D66" i="74"/>
  <c r="D65" i="74"/>
  <c r="D64" i="74"/>
  <c r="D63" i="74"/>
  <c r="D62" i="74"/>
  <c r="D61" i="74"/>
  <c r="D60" i="74"/>
  <c r="D59" i="74"/>
  <c r="D58" i="74"/>
  <c r="D57" i="74"/>
  <c r="D56" i="74"/>
  <c r="D55" i="74"/>
  <c r="D54" i="74"/>
  <c r="D53" i="74"/>
  <c r="D52" i="74"/>
  <c r="D51" i="74"/>
  <c r="D50" i="74"/>
  <c r="D49" i="74"/>
  <c r="D48" i="74"/>
  <c r="D47" i="74"/>
  <c r="D46" i="74"/>
  <c r="D45" i="74"/>
  <c r="D44" i="74"/>
  <c r="D43" i="74"/>
  <c r="D42" i="74"/>
  <c r="D41" i="74"/>
  <c r="D40" i="74"/>
  <c r="D39" i="74"/>
  <c r="D38" i="74"/>
  <c r="D37" i="74"/>
  <c r="D36" i="74"/>
  <c r="D35" i="74"/>
  <c r="D34" i="74"/>
  <c r="D33" i="74"/>
  <c r="D32" i="74"/>
  <c r="D31" i="74"/>
  <c r="D30" i="74"/>
  <c r="D29" i="74"/>
  <c r="D28" i="74"/>
  <c r="D27" i="74"/>
  <c r="D26" i="74"/>
  <c r="D25" i="74"/>
  <c r="D24" i="74"/>
  <c r="D23" i="74"/>
  <c r="D22" i="74"/>
  <c r="D21" i="74"/>
  <c r="D20" i="74"/>
  <c r="D19" i="74"/>
  <c r="D18" i="74"/>
  <c r="D17" i="74"/>
  <c r="D16" i="74"/>
  <c r="D13" i="74"/>
  <c r="D12" i="74"/>
  <c r="D11" i="74"/>
  <c r="D10" i="74"/>
  <c r="D9" i="74"/>
  <c r="D8" i="74"/>
  <c r="D7" i="74"/>
  <c r="D6" i="74"/>
  <c r="D5" i="74"/>
  <c r="D4" i="74"/>
  <c r="D79" i="73"/>
  <c r="D78" i="73"/>
  <c r="D77" i="73"/>
  <c r="D76" i="73"/>
  <c r="D75" i="73"/>
  <c r="D74" i="73"/>
  <c r="D73" i="73"/>
  <c r="D72" i="73"/>
  <c r="D71" i="73"/>
  <c r="D70" i="73"/>
  <c r="D69" i="73"/>
  <c r="D68" i="73"/>
  <c r="D67" i="73"/>
  <c r="D66" i="73"/>
  <c r="D65" i="73"/>
  <c r="D64" i="73"/>
  <c r="D63" i="73"/>
  <c r="D62" i="73"/>
  <c r="D61" i="73"/>
  <c r="D60" i="73"/>
  <c r="D59" i="73"/>
  <c r="D58" i="73"/>
  <c r="D57" i="73"/>
  <c r="D56" i="73"/>
  <c r="D55" i="73"/>
  <c r="D54" i="73"/>
  <c r="D53" i="73"/>
  <c r="D52" i="73"/>
  <c r="D51" i="73"/>
  <c r="D50" i="73"/>
  <c r="D49" i="73"/>
  <c r="D48" i="73"/>
  <c r="D47" i="73"/>
  <c r="D46" i="73"/>
  <c r="D45" i="73"/>
  <c r="D44" i="73"/>
  <c r="D43" i="73"/>
  <c r="D42" i="73"/>
  <c r="D41" i="73"/>
  <c r="D40" i="73"/>
  <c r="D39" i="73"/>
  <c r="D38" i="73"/>
  <c r="D37" i="73"/>
  <c r="D36" i="73"/>
  <c r="D35" i="73"/>
  <c r="D34" i="73"/>
  <c r="D33" i="73"/>
  <c r="D32" i="73"/>
  <c r="D31" i="73"/>
  <c r="D30" i="73"/>
  <c r="D29" i="73"/>
  <c r="D28" i="73"/>
  <c r="D27" i="73"/>
  <c r="D26" i="73"/>
  <c r="D25" i="73"/>
  <c r="D24" i="73"/>
  <c r="D23" i="73"/>
  <c r="D18" i="73"/>
  <c r="D17" i="73"/>
  <c r="D16" i="73"/>
  <c r="D15" i="73"/>
  <c r="D14" i="73"/>
  <c r="D13" i="73"/>
  <c r="D12" i="73"/>
  <c r="D11" i="73"/>
  <c r="D10" i="73"/>
  <c r="D9" i="73"/>
  <c r="D8" i="73"/>
  <c r="D7" i="73"/>
  <c r="D6" i="73"/>
  <c r="D5" i="73"/>
  <c r="D4" i="73"/>
  <c r="D79" i="72"/>
  <c r="D78" i="72"/>
  <c r="D77" i="72"/>
  <c r="D76" i="72"/>
  <c r="D75" i="72"/>
  <c r="D74" i="72"/>
  <c r="D73" i="72"/>
  <c r="D72" i="72"/>
  <c r="D71" i="72"/>
  <c r="D70" i="72"/>
  <c r="D69" i="72"/>
  <c r="D68" i="72"/>
  <c r="D67" i="72"/>
  <c r="D66" i="72"/>
  <c r="D65" i="72"/>
  <c r="D64" i="72"/>
  <c r="D63" i="72"/>
  <c r="D62" i="72"/>
  <c r="D61" i="72"/>
  <c r="D60" i="72"/>
  <c r="D59" i="72"/>
  <c r="D58" i="72"/>
  <c r="D57" i="72"/>
  <c r="D56" i="72"/>
  <c r="D55" i="72"/>
  <c r="D54" i="72"/>
  <c r="D53" i="72"/>
  <c r="D52" i="72"/>
  <c r="D51" i="72"/>
  <c r="D50" i="72"/>
  <c r="D49" i="72"/>
  <c r="D48" i="72"/>
  <c r="D47" i="72"/>
  <c r="D46" i="72"/>
  <c r="D45" i="72"/>
  <c r="D44" i="72"/>
  <c r="D43" i="72"/>
  <c r="D42" i="72"/>
  <c r="D41" i="72"/>
  <c r="D40" i="72"/>
  <c r="D39" i="72"/>
  <c r="D38" i="72"/>
  <c r="D37" i="72"/>
  <c r="D36" i="72"/>
  <c r="D35" i="72"/>
  <c r="D34" i="72"/>
  <c r="D33" i="72"/>
  <c r="D32" i="72"/>
  <c r="D31" i="72"/>
  <c r="D30" i="72"/>
  <c r="D29" i="72"/>
  <c r="D28" i="72"/>
  <c r="D27" i="72"/>
  <c r="D26" i="72"/>
  <c r="D25" i="72"/>
  <c r="D24" i="72"/>
  <c r="D23" i="72"/>
  <c r="D16" i="72"/>
  <c r="D15" i="72"/>
  <c r="D14" i="72"/>
  <c r="D13" i="72"/>
  <c r="D12" i="72"/>
  <c r="D11" i="72"/>
  <c r="D10" i="72"/>
  <c r="D9" i="72"/>
  <c r="D8" i="72"/>
  <c r="D7" i="72"/>
  <c r="D6" i="72"/>
  <c r="D5" i="72"/>
  <c r="D4" i="72"/>
  <c r="D79" i="71"/>
  <c r="D78" i="71"/>
  <c r="D77" i="71"/>
  <c r="D76" i="71"/>
  <c r="D75" i="71"/>
  <c r="D74" i="71"/>
  <c r="D73" i="71"/>
  <c r="D72" i="71"/>
  <c r="D71" i="71"/>
  <c r="D70" i="71"/>
  <c r="D69" i="71"/>
  <c r="D68" i="71"/>
  <c r="D67" i="71"/>
  <c r="D66" i="71"/>
  <c r="D65" i="71"/>
  <c r="D64" i="71"/>
  <c r="D63" i="71"/>
  <c r="D62" i="71"/>
  <c r="D61" i="71"/>
  <c r="D60" i="71"/>
  <c r="D59" i="71"/>
  <c r="D58" i="71"/>
  <c r="D57" i="71"/>
  <c r="D56" i="71"/>
  <c r="D55" i="71"/>
  <c r="D54" i="71"/>
  <c r="D53" i="71"/>
  <c r="D52" i="71"/>
  <c r="D51" i="71"/>
  <c r="D50" i="71"/>
  <c r="D49" i="71"/>
  <c r="D48" i="71"/>
  <c r="D47" i="71"/>
  <c r="D46" i="71"/>
  <c r="D45" i="71"/>
  <c r="D44" i="71"/>
  <c r="D43" i="71"/>
  <c r="D42" i="71"/>
  <c r="D41" i="71"/>
  <c r="D40" i="71"/>
  <c r="D39" i="71"/>
  <c r="D38" i="71"/>
  <c r="D37" i="71"/>
  <c r="D36" i="71"/>
  <c r="D35" i="71"/>
  <c r="D34" i="71"/>
  <c r="D33" i="71"/>
  <c r="D32" i="71"/>
  <c r="D31" i="71"/>
  <c r="D30" i="71"/>
  <c r="D29" i="71"/>
  <c r="D28" i="71"/>
  <c r="D27" i="71"/>
  <c r="D26" i="71"/>
  <c r="D25" i="71"/>
  <c r="D24" i="71"/>
  <c r="D23" i="71"/>
  <c r="D22" i="71"/>
  <c r="D17" i="71"/>
  <c r="D16" i="71"/>
  <c r="D15" i="71"/>
  <c r="D14" i="71"/>
  <c r="D13" i="71"/>
  <c r="D12" i="71"/>
  <c r="D11" i="71"/>
  <c r="D10" i="71"/>
  <c r="D9" i="71"/>
  <c r="D8" i="71"/>
  <c r="D7" i="71"/>
  <c r="D6" i="71"/>
  <c r="D5" i="71"/>
  <c r="D4" i="71"/>
  <c r="D79" i="70"/>
  <c r="D78" i="70"/>
  <c r="D77" i="70"/>
  <c r="D76" i="70"/>
  <c r="D75" i="70"/>
  <c r="D74" i="70"/>
  <c r="D73" i="70"/>
  <c r="D72" i="70"/>
  <c r="D71" i="70"/>
  <c r="D70" i="70"/>
  <c r="D69" i="70"/>
  <c r="D68" i="70"/>
  <c r="D67" i="70"/>
  <c r="D66" i="70"/>
  <c r="D65" i="70"/>
  <c r="D64" i="70"/>
  <c r="D63" i="70"/>
  <c r="D62" i="70"/>
  <c r="D61" i="70"/>
  <c r="D60" i="70"/>
  <c r="D59" i="70"/>
  <c r="D58" i="70"/>
  <c r="D57" i="70"/>
  <c r="D56" i="70"/>
  <c r="D55" i="70"/>
  <c r="D54" i="70"/>
  <c r="D53" i="70"/>
  <c r="D52" i="70"/>
  <c r="D51" i="70"/>
  <c r="D50" i="70"/>
  <c r="D49" i="70"/>
  <c r="D48" i="70"/>
  <c r="D47" i="70"/>
  <c r="D46" i="70"/>
  <c r="D45" i="70"/>
  <c r="D44" i="70"/>
  <c r="D43" i="70"/>
  <c r="D42" i="70"/>
  <c r="D41" i="70"/>
  <c r="D40" i="70"/>
  <c r="D39" i="70"/>
  <c r="D38" i="70"/>
  <c r="D37" i="70"/>
  <c r="D36" i="70"/>
  <c r="D35" i="70"/>
  <c r="D34" i="70"/>
  <c r="D33" i="70"/>
  <c r="D32" i="70"/>
  <c r="D31" i="70"/>
  <c r="D30" i="70"/>
  <c r="D29" i="70"/>
  <c r="D28" i="70"/>
  <c r="D27" i="70"/>
  <c r="D26" i="70"/>
  <c r="D25" i="70"/>
  <c r="D24" i="70"/>
  <c r="D19" i="70"/>
  <c r="D18" i="70"/>
  <c r="D17" i="70"/>
  <c r="D16" i="70"/>
  <c r="D15" i="70"/>
  <c r="D14" i="70"/>
  <c r="D13" i="70"/>
  <c r="D12" i="70"/>
  <c r="D11" i="70"/>
  <c r="D10" i="70"/>
  <c r="D9" i="70"/>
  <c r="D8" i="70"/>
  <c r="D7" i="70"/>
  <c r="D6" i="70"/>
  <c r="D5" i="70"/>
  <c r="D4" i="70"/>
  <c r="D79" i="69"/>
  <c r="D78" i="69"/>
  <c r="D77" i="69"/>
  <c r="D76" i="69"/>
  <c r="D75" i="69"/>
  <c r="D74" i="69"/>
  <c r="D73" i="69"/>
  <c r="D72" i="69"/>
  <c r="D71" i="69"/>
  <c r="D70" i="69"/>
  <c r="D69" i="69"/>
  <c r="D68" i="69"/>
  <c r="D67" i="69"/>
  <c r="D66" i="69"/>
  <c r="D65" i="69"/>
  <c r="D64" i="69"/>
  <c r="D63" i="69"/>
  <c r="D62" i="69"/>
  <c r="D61" i="69"/>
  <c r="D60" i="69"/>
  <c r="D59" i="69"/>
  <c r="D58" i="69"/>
  <c r="D57" i="69"/>
  <c r="D56" i="69"/>
  <c r="D55" i="69"/>
  <c r="D54" i="69"/>
  <c r="D53" i="69"/>
  <c r="D52" i="69"/>
  <c r="D51" i="69"/>
  <c r="D50" i="69"/>
  <c r="D49" i="69"/>
  <c r="D48" i="69"/>
  <c r="D47" i="69"/>
  <c r="D46" i="69"/>
  <c r="D45" i="69"/>
  <c r="D44" i="69"/>
  <c r="D43" i="69"/>
  <c r="D42" i="69"/>
  <c r="D41" i="69"/>
  <c r="D40" i="69"/>
  <c r="D39" i="69"/>
  <c r="D38" i="69"/>
  <c r="D37" i="69"/>
  <c r="D36" i="69"/>
  <c r="D35" i="69"/>
  <c r="D34" i="69"/>
  <c r="D33" i="69"/>
  <c r="D32" i="69"/>
  <c r="D31" i="69"/>
  <c r="D30" i="69"/>
  <c r="D29" i="69"/>
  <c r="D28" i="69"/>
  <c r="D27" i="69"/>
  <c r="D26" i="69"/>
  <c r="D25" i="69"/>
  <c r="D24" i="69"/>
  <c r="D23" i="69"/>
  <c r="D18" i="69"/>
  <c r="D17" i="69"/>
  <c r="D16" i="69"/>
  <c r="D15" i="69"/>
  <c r="D14" i="69"/>
  <c r="D13" i="69"/>
  <c r="D12" i="69"/>
  <c r="D11" i="69"/>
  <c r="D10" i="69"/>
  <c r="D9" i="69"/>
  <c r="D8" i="69"/>
  <c r="D7" i="69"/>
  <c r="D6" i="69"/>
  <c r="D5" i="69"/>
  <c r="D4" i="69"/>
  <c r="D79" i="68"/>
  <c r="D78" i="68"/>
  <c r="D77" i="68"/>
  <c r="D76" i="68"/>
  <c r="D75" i="68"/>
  <c r="D74" i="68"/>
  <c r="D73" i="68"/>
  <c r="D72" i="68"/>
  <c r="D71" i="68"/>
  <c r="D70" i="68"/>
  <c r="D69" i="68"/>
  <c r="D68" i="68"/>
  <c r="D67" i="68"/>
  <c r="D66" i="68"/>
  <c r="D65" i="68"/>
  <c r="D64" i="68"/>
  <c r="D63" i="68"/>
  <c r="D62" i="68"/>
  <c r="D61" i="68"/>
  <c r="D60" i="68"/>
  <c r="D59" i="68"/>
  <c r="D58" i="68"/>
  <c r="D57" i="68"/>
  <c r="D56" i="68"/>
  <c r="D55" i="68"/>
  <c r="D54" i="68"/>
  <c r="D53" i="68"/>
  <c r="D52" i="68"/>
  <c r="D51" i="68"/>
  <c r="D50" i="68"/>
  <c r="D49" i="68"/>
  <c r="D48" i="68"/>
  <c r="D47" i="68"/>
  <c r="D46" i="68"/>
  <c r="D45" i="68"/>
  <c r="D44" i="68"/>
  <c r="D43" i="68"/>
  <c r="D42" i="68"/>
  <c r="D41" i="68"/>
  <c r="D40" i="68"/>
  <c r="D39" i="68"/>
  <c r="D38" i="68"/>
  <c r="D37" i="68"/>
  <c r="D36" i="68"/>
  <c r="D35" i="68"/>
  <c r="D34" i="68"/>
  <c r="D33" i="68"/>
  <c r="D32" i="68"/>
  <c r="D31" i="68"/>
  <c r="D30" i="68"/>
  <c r="D29" i="68"/>
  <c r="D28" i="68"/>
  <c r="D27" i="68"/>
  <c r="D26" i="68"/>
  <c r="D25" i="68"/>
  <c r="D24" i="68"/>
  <c r="D23" i="68"/>
  <c r="D22" i="68"/>
  <c r="D21" i="68"/>
  <c r="D20" i="68"/>
  <c r="D19" i="68"/>
  <c r="D14" i="68"/>
  <c r="D13" i="68"/>
  <c r="D12" i="68"/>
  <c r="D11" i="68"/>
  <c r="D10" i="68"/>
  <c r="D9" i="68"/>
  <c r="D8" i="68"/>
  <c r="D7" i="68"/>
  <c r="D6" i="68"/>
  <c r="D5" i="68"/>
  <c r="D4" i="68"/>
  <c r="D80" i="67"/>
  <c r="D79" i="67"/>
  <c r="D78" i="67"/>
  <c r="D77" i="67"/>
  <c r="D76" i="67"/>
  <c r="D75" i="67"/>
  <c r="D74" i="67"/>
  <c r="D73" i="67"/>
  <c r="D72" i="67"/>
  <c r="D71" i="67"/>
  <c r="D70" i="67"/>
  <c r="D69" i="67"/>
  <c r="D68" i="67"/>
  <c r="D67" i="67"/>
  <c r="D66" i="67"/>
  <c r="D65" i="67"/>
  <c r="D64" i="67"/>
  <c r="D63" i="67"/>
  <c r="D62" i="67"/>
  <c r="D61" i="67"/>
  <c r="D60" i="67"/>
  <c r="D59" i="67"/>
  <c r="D58" i="67"/>
  <c r="D57" i="67"/>
  <c r="D56" i="67"/>
  <c r="D55" i="67"/>
  <c r="D54" i="67"/>
  <c r="D53" i="67"/>
  <c r="D52" i="67"/>
  <c r="D51" i="67"/>
  <c r="D50" i="67"/>
  <c r="D49" i="67"/>
  <c r="D48" i="67"/>
  <c r="D47" i="67"/>
  <c r="D46" i="67"/>
  <c r="D45" i="67"/>
  <c r="D44" i="67"/>
  <c r="D43" i="67"/>
  <c r="D42" i="67"/>
  <c r="D41" i="67"/>
  <c r="D40" i="67"/>
  <c r="D39" i="67"/>
  <c r="D38" i="67"/>
  <c r="D37" i="67"/>
  <c r="D36" i="67"/>
  <c r="D35" i="67"/>
  <c r="D34" i="67"/>
  <c r="D33" i="67"/>
  <c r="D32" i="67"/>
  <c r="D31" i="67"/>
  <c r="D30" i="67"/>
  <c r="D29" i="67"/>
  <c r="D28" i="67"/>
  <c r="D27" i="67"/>
  <c r="D26" i="67"/>
  <c r="D21" i="67"/>
  <c r="D20" i="67"/>
  <c r="D19" i="67"/>
  <c r="D18" i="67"/>
  <c r="D17" i="67"/>
  <c r="D16" i="67"/>
  <c r="D15" i="67"/>
  <c r="D14" i="67"/>
  <c r="D13" i="67"/>
  <c r="D12" i="67"/>
  <c r="D11" i="67"/>
  <c r="D10" i="67"/>
  <c r="D9" i="67"/>
  <c r="D8" i="67"/>
  <c r="D7" i="67"/>
  <c r="D6" i="67"/>
  <c r="D5" i="67"/>
  <c r="D4" i="67"/>
  <c r="D80" i="66"/>
  <c r="D79" i="66"/>
  <c r="D78" i="66"/>
  <c r="D77" i="66"/>
  <c r="D76" i="66"/>
  <c r="D75" i="66"/>
  <c r="D74" i="66"/>
  <c r="D73" i="66"/>
  <c r="D72" i="66"/>
  <c r="D71" i="66"/>
  <c r="D70" i="66"/>
  <c r="D69" i="66"/>
  <c r="D68" i="66"/>
  <c r="D67" i="66"/>
  <c r="D66" i="66"/>
  <c r="D65" i="66"/>
  <c r="D64" i="66"/>
  <c r="D63" i="66"/>
  <c r="D62" i="66"/>
  <c r="D61" i="66"/>
  <c r="D60" i="66"/>
  <c r="D59" i="66"/>
  <c r="D58" i="66"/>
  <c r="D57" i="66"/>
  <c r="D56" i="66"/>
  <c r="D55" i="66"/>
  <c r="D54" i="66"/>
  <c r="D53" i="66"/>
  <c r="D52" i="66"/>
  <c r="D51" i="66"/>
  <c r="D50" i="66"/>
  <c r="D49" i="66"/>
  <c r="D48" i="66"/>
  <c r="D47" i="66"/>
  <c r="D46" i="66"/>
  <c r="D45" i="66"/>
  <c r="D44" i="66"/>
  <c r="D43" i="66"/>
  <c r="D42" i="66"/>
  <c r="D41" i="66"/>
  <c r="D40" i="66"/>
  <c r="D39" i="66"/>
  <c r="D38" i="66"/>
  <c r="D37" i="66"/>
  <c r="D36" i="66"/>
  <c r="D35" i="66"/>
  <c r="D34" i="66"/>
  <c r="D33" i="66"/>
  <c r="D32" i="66"/>
  <c r="D31" i="66"/>
  <c r="D30" i="66"/>
  <c r="D29" i="66"/>
  <c r="D28" i="66"/>
  <c r="D27" i="66"/>
  <c r="D26" i="66"/>
  <c r="D25" i="66"/>
  <c r="D24" i="66"/>
  <c r="D23" i="66"/>
  <c r="D22" i="66"/>
  <c r="D17" i="66"/>
  <c r="D16" i="66"/>
  <c r="D15" i="66"/>
  <c r="D14" i="66"/>
  <c r="D13" i="66"/>
  <c r="D12" i="66"/>
  <c r="D11" i="66"/>
  <c r="D10" i="66"/>
  <c r="D9" i="66"/>
  <c r="D8" i="66"/>
  <c r="D7" i="66"/>
  <c r="D6" i="66"/>
  <c r="D5" i="66"/>
  <c r="D4" i="66"/>
  <c r="D80" i="65"/>
  <c r="D79" i="65"/>
  <c r="D78" i="65"/>
  <c r="D77" i="65"/>
  <c r="D76" i="65"/>
  <c r="D75" i="65"/>
  <c r="D74" i="65"/>
  <c r="D73" i="65"/>
  <c r="D72" i="65"/>
  <c r="D71" i="65"/>
  <c r="D70" i="65"/>
  <c r="D69" i="65"/>
  <c r="D68" i="65"/>
  <c r="D67" i="65"/>
  <c r="D66" i="65"/>
  <c r="D65" i="65"/>
  <c r="D64" i="65"/>
  <c r="D63" i="65"/>
  <c r="D62" i="65"/>
  <c r="D61" i="65"/>
  <c r="D60" i="65"/>
  <c r="D59" i="65"/>
  <c r="D58" i="65"/>
  <c r="D57" i="65"/>
  <c r="D56" i="65"/>
  <c r="D55" i="65"/>
  <c r="D54" i="65"/>
  <c r="D53" i="65"/>
  <c r="D52" i="65"/>
  <c r="D51" i="65"/>
  <c r="D50" i="65"/>
  <c r="D49" i="65"/>
  <c r="D48" i="65"/>
  <c r="D47" i="65"/>
  <c r="D46" i="65"/>
  <c r="D45" i="65"/>
  <c r="D44" i="65"/>
  <c r="D43" i="65"/>
  <c r="D42" i="65"/>
  <c r="D41" i="65"/>
  <c r="D40" i="65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18" i="65"/>
  <c r="D17" i="65"/>
  <c r="D16" i="65"/>
  <c r="D15" i="65"/>
  <c r="D14" i="65"/>
  <c r="D13" i="65"/>
  <c r="D12" i="65"/>
  <c r="D11" i="65"/>
  <c r="D10" i="65"/>
  <c r="D9" i="65"/>
  <c r="D8" i="65"/>
  <c r="D7" i="65"/>
  <c r="D6" i="65"/>
  <c r="D5" i="65"/>
  <c r="D4" i="65"/>
  <c r="D80" i="64"/>
  <c r="D79" i="64"/>
  <c r="D78" i="64"/>
  <c r="D77" i="64"/>
  <c r="D76" i="64"/>
  <c r="D75" i="64"/>
  <c r="D74" i="64"/>
  <c r="D73" i="64"/>
  <c r="D72" i="64"/>
  <c r="D71" i="64"/>
  <c r="D70" i="64"/>
  <c r="D69" i="64"/>
  <c r="D68" i="64"/>
  <c r="D67" i="64"/>
  <c r="D66" i="64"/>
  <c r="D65" i="64"/>
  <c r="D64" i="64"/>
  <c r="D63" i="64"/>
  <c r="D62" i="64"/>
  <c r="D61" i="64"/>
  <c r="D60" i="64"/>
  <c r="D59" i="64"/>
  <c r="D58" i="64"/>
  <c r="D57" i="64"/>
  <c r="D56" i="64"/>
  <c r="D55" i="64"/>
  <c r="D54" i="64"/>
  <c r="D53" i="64"/>
  <c r="D52" i="64"/>
  <c r="D51" i="64"/>
  <c r="D50" i="64"/>
  <c r="D49" i="64"/>
  <c r="D48" i="64"/>
  <c r="D47" i="64"/>
  <c r="D46" i="64"/>
  <c r="D45" i="64"/>
  <c r="D44" i="64"/>
  <c r="D43" i="64"/>
  <c r="D42" i="64"/>
  <c r="D41" i="64"/>
  <c r="D40" i="64"/>
  <c r="D39" i="64"/>
  <c r="D38" i="64"/>
  <c r="D37" i="64"/>
  <c r="D36" i="64"/>
  <c r="D35" i="64"/>
  <c r="D34" i="64"/>
  <c r="D33" i="64"/>
  <c r="D32" i="64"/>
  <c r="D31" i="64"/>
  <c r="D30" i="64"/>
  <c r="D29" i="64"/>
  <c r="D28" i="64"/>
  <c r="D27" i="64"/>
  <c r="D26" i="64"/>
  <c r="D25" i="64"/>
  <c r="D24" i="64"/>
  <c r="D23" i="64"/>
  <c r="D22" i="64"/>
  <c r="D21" i="64"/>
  <c r="D20" i="64"/>
  <c r="D19" i="64"/>
  <c r="D18" i="64"/>
  <c r="D17" i="64"/>
  <c r="D16" i="64"/>
  <c r="D15" i="64"/>
  <c r="D14" i="64"/>
  <c r="D13" i="64"/>
  <c r="D12" i="64"/>
  <c r="D11" i="64"/>
  <c r="D10" i="64"/>
  <c r="D9" i="64"/>
  <c r="D8" i="64"/>
  <c r="D7" i="64"/>
  <c r="D6" i="64"/>
  <c r="D5" i="64"/>
  <c r="D4" i="64"/>
  <c r="D79" i="63"/>
  <c r="D78" i="63"/>
  <c r="D77" i="63"/>
  <c r="D76" i="63"/>
  <c r="D75" i="63"/>
  <c r="D74" i="63"/>
  <c r="D73" i="63"/>
  <c r="D72" i="63"/>
  <c r="D71" i="63"/>
  <c r="D70" i="63"/>
  <c r="D69" i="63"/>
  <c r="D68" i="63"/>
  <c r="D67" i="63"/>
  <c r="D66" i="63"/>
  <c r="D65" i="63"/>
  <c r="D64" i="63"/>
  <c r="D63" i="63"/>
  <c r="D62" i="63"/>
  <c r="D61" i="63"/>
  <c r="D60" i="63"/>
  <c r="D59" i="63"/>
  <c r="D58" i="63"/>
  <c r="D57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19" i="63"/>
  <c r="D18" i="63"/>
  <c r="D17" i="63"/>
  <c r="D16" i="63"/>
  <c r="D15" i="63"/>
  <c r="D14" i="63"/>
  <c r="D13" i="63"/>
  <c r="D12" i="63"/>
  <c r="D11" i="63"/>
  <c r="D10" i="63"/>
  <c r="D9" i="63"/>
  <c r="D8" i="63"/>
  <c r="D7" i="63"/>
  <c r="D6" i="63"/>
  <c r="D5" i="63"/>
  <c r="D4" i="63"/>
  <c r="D80" i="62"/>
  <c r="D79" i="62"/>
  <c r="D78" i="62"/>
  <c r="D77" i="62"/>
  <c r="D76" i="62"/>
  <c r="D75" i="62"/>
  <c r="D74" i="62"/>
  <c r="D73" i="62"/>
  <c r="D72" i="62"/>
  <c r="D71" i="62"/>
  <c r="D70" i="62"/>
  <c r="D69" i="62"/>
  <c r="D68" i="62"/>
  <c r="D67" i="62"/>
  <c r="D66" i="62"/>
  <c r="D65" i="62"/>
  <c r="D64" i="62"/>
  <c r="D63" i="62"/>
  <c r="D62" i="62"/>
  <c r="D61" i="62"/>
  <c r="D60" i="62"/>
  <c r="D59" i="62"/>
  <c r="D58" i="62"/>
  <c r="D57" i="62"/>
  <c r="D56" i="62"/>
  <c r="D55" i="62"/>
  <c r="D54" i="62"/>
  <c r="D53" i="62"/>
  <c r="D52" i="62"/>
  <c r="D51" i="62"/>
  <c r="D50" i="62"/>
  <c r="D49" i="62"/>
  <c r="D48" i="62"/>
  <c r="D47" i="62"/>
  <c r="D46" i="62"/>
  <c r="D45" i="62"/>
  <c r="D44" i="62"/>
  <c r="D43" i="62"/>
  <c r="D42" i="62"/>
  <c r="D41" i="62"/>
  <c r="D40" i="62"/>
  <c r="D39" i="62"/>
  <c r="D38" i="62"/>
  <c r="D37" i="62"/>
  <c r="D36" i="62"/>
  <c r="D35" i="62"/>
  <c r="D34" i="62"/>
  <c r="D33" i="62"/>
  <c r="D32" i="62"/>
  <c r="D31" i="62"/>
  <c r="D30" i="62"/>
  <c r="D29" i="62"/>
  <c r="D28" i="62"/>
  <c r="D27" i="62"/>
  <c r="D26" i="62"/>
  <c r="D25" i="62"/>
  <c r="D24" i="62"/>
  <c r="D19" i="62"/>
  <c r="D18" i="62"/>
  <c r="D17" i="62"/>
  <c r="D16" i="62"/>
  <c r="D15" i="62"/>
  <c r="D14" i="62"/>
  <c r="D13" i="62"/>
  <c r="D11" i="62"/>
  <c r="D10" i="62"/>
  <c r="D9" i="62"/>
  <c r="D8" i="62"/>
  <c r="D7" i="62"/>
  <c r="D6" i="62"/>
  <c r="D5" i="62"/>
  <c r="D4" i="62"/>
  <c r="D79" i="61"/>
  <c r="D78" i="61"/>
  <c r="D77" i="61"/>
  <c r="D76" i="61"/>
  <c r="D75" i="61"/>
  <c r="D74" i="61"/>
  <c r="D73" i="61"/>
  <c r="D72" i="61"/>
  <c r="D71" i="61"/>
  <c r="D70" i="61"/>
  <c r="D69" i="61"/>
  <c r="D68" i="61"/>
  <c r="D67" i="61"/>
  <c r="D66" i="61"/>
  <c r="D65" i="61"/>
  <c r="D64" i="61"/>
  <c r="D63" i="61"/>
  <c r="D62" i="61"/>
  <c r="D61" i="61"/>
  <c r="D60" i="61"/>
  <c r="D59" i="61"/>
  <c r="D58" i="61"/>
  <c r="D57" i="61"/>
  <c r="D56" i="61"/>
  <c r="D55" i="61"/>
  <c r="D54" i="61"/>
  <c r="D53" i="61"/>
  <c r="D52" i="61"/>
  <c r="D51" i="61"/>
  <c r="D50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D28" i="61"/>
  <c r="D27" i="61"/>
  <c r="D26" i="61"/>
  <c r="D25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D6" i="61"/>
  <c r="D5" i="61"/>
  <c r="D4" i="61"/>
  <c r="D80" i="60"/>
  <c r="D79" i="60"/>
  <c r="D78" i="60"/>
  <c r="D77" i="60"/>
  <c r="D76" i="60"/>
  <c r="D75" i="60"/>
  <c r="D74" i="60"/>
  <c r="D73" i="60"/>
  <c r="D72" i="60"/>
  <c r="D71" i="60"/>
  <c r="D70" i="60"/>
  <c r="D69" i="60"/>
  <c r="D68" i="60"/>
  <c r="D67" i="60"/>
  <c r="D66" i="60"/>
  <c r="D65" i="60"/>
  <c r="D64" i="60"/>
  <c r="D63" i="60"/>
  <c r="D62" i="60"/>
  <c r="D61" i="60"/>
  <c r="D60" i="60"/>
  <c r="D59" i="60"/>
  <c r="D58" i="60"/>
  <c r="D57" i="60"/>
  <c r="D56" i="60"/>
  <c r="D55" i="60"/>
  <c r="D54" i="60"/>
  <c r="D53" i="60"/>
  <c r="D52" i="60"/>
  <c r="D51" i="60"/>
  <c r="D50" i="60"/>
  <c r="D49" i="60"/>
  <c r="D48" i="60"/>
  <c r="D47" i="60"/>
  <c r="D46" i="60"/>
  <c r="D45" i="60"/>
  <c r="D44" i="60"/>
  <c r="D43" i="60"/>
  <c r="D42" i="60"/>
  <c r="D41" i="60"/>
  <c r="D40" i="60"/>
  <c r="D3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D25" i="60"/>
  <c r="D24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6" i="60"/>
  <c r="D5" i="60"/>
  <c r="D4" i="60"/>
  <c r="D80" i="59"/>
  <c r="D79" i="59"/>
  <c r="D78" i="59"/>
  <c r="D77" i="59"/>
  <c r="D76" i="59"/>
  <c r="D75" i="59"/>
  <c r="D74" i="59"/>
  <c r="D73" i="59"/>
  <c r="D72" i="59"/>
  <c r="D71" i="59"/>
  <c r="D70" i="59"/>
  <c r="D69" i="59"/>
  <c r="D68" i="59"/>
  <c r="D67" i="59"/>
  <c r="D66" i="59"/>
  <c r="D65" i="59"/>
  <c r="D64" i="59"/>
  <c r="D63" i="59"/>
  <c r="D62" i="59"/>
  <c r="D61" i="59"/>
  <c r="D60" i="59"/>
  <c r="D59" i="59"/>
  <c r="D58" i="59"/>
  <c r="D57" i="59"/>
  <c r="D56" i="59"/>
  <c r="D55" i="59"/>
  <c r="D54" i="59"/>
  <c r="D53" i="59"/>
  <c r="D52" i="59"/>
  <c r="D51" i="59"/>
  <c r="D50" i="59"/>
  <c r="D49" i="59"/>
  <c r="D48" i="59"/>
  <c r="D47" i="59"/>
  <c r="D46" i="59"/>
  <c r="D45" i="59"/>
  <c r="D44" i="59"/>
  <c r="D43" i="59"/>
  <c r="D42" i="59"/>
  <c r="D41" i="59"/>
  <c r="D40" i="59"/>
  <c r="D39" i="59"/>
  <c r="D38" i="59"/>
  <c r="D37" i="59"/>
  <c r="D36" i="59"/>
  <c r="D35" i="59"/>
  <c r="D34" i="59"/>
  <c r="D33" i="59"/>
  <c r="D32" i="59"/>
  <c r="D31" i="59"/>
  <c r="D30" i="59"/>
  <c r="D29" i="59"/>
  <c r="D28" i="59"/>
  <c r="D27" i="59"/>
  <c r="D26" i="59"/>
  <c r="D25" i="59"/>
  <c r="D24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D8" i="59"/>
  <c r="D7" i="59"/>
  <c r="D6" i="59"/>
  <c r="D5" i="59"/>
  <c r="D4" i="59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D6" i="58"/>
  <c r="D5" i="58"/>
  <c r="D4" i="58"/>
  <c r="D79" i="57"/>
  <c r="D78" i="57"/>
  <c r="D77" i="57"/>
  <c r="D76" i="57"/>
  <c r="D75" i="57"/>
  <c r="D74" i="57"/>
  <c r="D73" i="57"/>
  <c r="D72" i="57"/>
  <c r="D71" i="57"/>
  <c r="D70" i="57"/>
  <c r="D69" i="57"/>
  <c r="D68" i="57"/>
  <c r="D67" i="57"/>
  <c r="D66" i="57"/>
  <c r="D65" i="57"/>
  <c r="D64" i="57"/>
  <c r="D63" i="57"/>
  <c r="D62" i="57"/>
  <c r="D61" i="57"/>
  <c r="D60" i="57"/>
  <c r="D59" i="57"/>
  <c r="D58" i="57"/>
  <c r="D57" i="57"/>
  <c r="D56" i="57"/>
  <c r="D55" i="57"/>
  <c r="D54" i="57"/>
  <c r="D53" i="57"/>
  <c r="D52" i="57"/>
  <c r="D51" i="57"/>
  <c r="D50" i="57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8" i="57"/>
  <c r="D7" i="57"/>
  <c r="D6" i="57"/>
  <c r="D5" i="57"/>
  <c r="D4" i="57"/>
  <c r="D80" i="56"/>
  <c r="D79" i="56"/>
  <c r="D78" i="56"/>
  <c r="D77" i="56"/>
  <c r="D76" i="56"/>
  <c r="D75" i="56"/>
  <c r="D74" i="56"/>
  <c r="D73" i="56"/>
  <c r="D72" i="56"/>
  <c r="D71" i="56"/>
  <c r="D70" i="56"/>
  <c r="D69" i="56"/>
  <c r="D68" i="56"/>
  <c r="D67" i="56"/>
  <c r="D66" i="56"/>
  <c r="D65" i="56"/>
  <c r="D64" i="56"/>
  <c r="D63" i="56"/>
  <c r="D62" i="56"/>
  <c r="D61" i="56"/>
  <c r="D60" i="56"/>
  <c r="D59" i="56"/>
  <c r="D58" i="56"/>
  <c r="D57" i="56"/>
  <c r="D56" i="56"/>
  <c r="D55" i="56"/>
  <c r="D54" i="56"/>
  <c r="D53" i="56"/>
  <c r="D52" i="56"/>
  <c r="D51" i="56"/>
  <c r="D50" i="56"/>
  <c r="D49" i="56"/>
  <c r="D48" i="56"/>
  <c r="D47" i="56"/>
  <c r="D46" i="56"/>
  <c r="D45" i="56"/>
  <c r="D44" i="56"/>
  <c r="D43" i="56"/>
  <c r="D42" i="56"/>
  <c r="D41" i="56"/>
  <c r="D40" i="56"/>
  <c r="D39" i="56"/>
  <c r="D38" i="56"/>
  <c r="D37" i="56"/>
  <c r="D36" i="56"/>
  <c r="D35" i="56"/>
  <c r="D34" i="56"/>
  <c r="D33" i="56"/>
  <c r="D32" i="56"/>
  <c r="D31" i="56"/>
  <c r="D30" i="56"/>
  <c r="D29" i="56"/>
  <c r="D28" i="56"/>
  <c r="D27" i="56"/>
  <c r="D26" i="56"/>
  <c r="D25" i="56"/>
  <c r="D24" i="56"/>
  <c r="D23" i="56"/>
  <c r="D22" i="56"/>
  <c r="D21" i="56"/>
  <c r="D20" i="56"/>
  <c r="D19" i="56"/>
  <c r="D14" i="56"/>
  <c r="D13" i="56"/>
  <c r="D12" i="56"/>
  <c r="D11" i="56"/>
  <c r="D10" i="56"/>
  <c r="D9" i="56"/>
  <c r="D8" i="56"/>
  <c r="D7" i="56"/>
  <c r="D6" i="56"/>
  <c r="D5" i="56"/>
  <c r="D4" i="56"/>
  <c r="D80" i="55"/>
  <c r="D79" i="55"/>
  <c r="D78" i="55"/>
  <c r="D77" i="55"/>
  <c r="D76" i="55"/>
  <c r="D75" i="55"/>
  <c r="D74" i="55"/>
  <c r="D73" i="55"/>
  <c r="D72" i="55"/>
  <c r="D71" i="55"/>
  <c r="D70" i="55"/>
  <c r="D69" i="55"/>
  <c r="D68" i="55"/>
  <c r="D67" i="55"/>
  <c r="D66" i="55"/>
  <c r="D65" i="55"/>
  <c r="D64" i="55"/>
  <c r="D63" i="55"/>
  <c r="D62" i="55"/>
  <c r="D61" i="55"/>
  <c r="D60" i="55"/>
  <c r="D59" i="55"/>
  <c r="D58" i="55"/>
  <c r="D57" i="55"/>
  <c r="D56" i="55"/>
  <c r="D55" i="55"/>
  <c r="D54" i="55"/>
  <c r="D53" i="55"/>
  <c r="D52" i="55"/>
  <c r="D51" i="55"/>
  <c r="D50" i="55"/>
  <c r="D49" i="55"/>
  <c r="D48" i="55"/>
  <c r="D47" i="55"/>
  <c r="D46" i="55"/>
  <c r="D45" i="55"/>
  <c r="D44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D30" i="55"/>
  <c r="D29" i="55"/>
  <c r="D28" i="55"/>
  <c r="D27" i="55"/>
  <c r="D22" i="55"/>
  <c r="D21" i="55"/>
  <c r="D20" i="55"/>
  <c r="D19" i="55"/>
  <c r="D18" i="55"/>
  <c r="D17" i="55"/>
  <c r="D16" i="55"/>
  <c r="D15" i="55"/>
  <c r="D14" i="55"/>
  <c r="D13" i="55"/>
  <c r="D12" i="55"/>
  <c r="D11" i="55"/>
  <c r="D10" i="55"/>
  <c r="D9" i="55"/>
  <c r="D8" i="55"/>
  <c r="D7" i="55"/>
  <c r="D6" i="55"/>
  <c r="D5" i="55"/>
  <c r="D4" i="55"/>
  <c r="D79" i="54"/>
  <c r="D78" i="54"/>
  <c r="D77" i="54"/>
  <c r="D76" i="54"/>
  <c r="D75" i="54"/>
  <c r="D74" i="54"/>
  <c r="D73" i="54"/>
  <c r="D72" i="54"/>
  <c r="D71" i="54"/>
  <c r="D70" i="54"/>
  <c r="D69" i="54"/>
  <c r="D68" i="54"/>
  <c r="D67" i="54"/>
  <c r="D66" i="54"/>
  <c r="D65" i="54"/>
  <c r="D64" i="54"/>
  <c r="D63" i="54"/>
  <c r="D62" i="54"/>
  <c r="D61" i="54"/>
  <c r="D60" i="54"/>
  <c r="D59" i="54"/>
  <c r="D58" i="54"/>
  <c r="D57" i="54"/>
  <c r="D56" i="54"/>
  <c r="D55" i="54"/>
  <c r="D54" i="54"/>
  <c r="D53" i="54"/>
  <c r="D52" i="54"/>
  <c r="D51" i="54"/>
  <c r="D50" i="54"/>
  <c r="D49" i="54"/>
  <c r="D48" i="54"/>
  <c r="D47" i="54"/>
  <c r="D46" i="54"/>
  <c r="D45" i="54"/>
  <c r="D44" i="54"/>
  <c r="D43" i="54"/>
  <c r="D42" i="54"/>
  <c r="D41" i="54"/>
  <c r="D40" i="54"/>
  <c r="D39" i="54"/>
  <c r="D38" i="54"/>
  <c r="D37" i="54"/>
  <c r="D36" i="54"/>
  <c r="D35" i="54"/>
  <c r="D34" i="54"/>
  <c r="D33" i="54"/>
  <c r="D32" i="54"/>
  <c r="D31" i="54"/>
  <c r="D30" i="54"/>
  <c r="D29" i="54"/>
  <c r="D28" i="54"/>
  <c r="D27" i="54"/>
  <c r="D26" i="54"/>
  <c r="D25" i="54"/>
  <c r="D24" i="54"/>
  <c r="D19" i="54"/>
  <c r="D18" i="54"/>
  <c r="D17" i="54"/>
  <c r="D16" i="54"/>
  <c r="D15" i="54"/>
  <c r="D14" i="54"/>
  <c r="D13" i="54"/>
  <c r="D12" i="54"/>
  <c r="D11" i="54"/>
  <c r="D10" i="54"/>
  <c r="D9" i="54"/>
  <c r="D8" i="54"/>
  <c r="D7" i="54"/>
  <c r="D6" i="54"/>
  <c r="D5" i="54"/>
  <c r="D4" i="54"/>
  <c r="D80" i="53"/>
  <c r="D79" i="53"/>
  <c r="D78" i="53"/>
  <c r="D77" i="53"/>
  <c r="D76" i="53"/>
  <c r="D75" i="53"/>
  <c r="D74" i="53"/>
  <c r="D73" i="53"/>
  <c r="D72" i="53"/>
  <c r="D71" i="53"/>
  <c r="D70" i="53"/>
  <c r="D69" i="53"/>
  <c r="D68" i="53"/>
  <c r="D67" i="53"/>
  <c r="D66" i="53"/>
  <c r="D65" i="53"/>
  <c r="D64" i="53"/>
  <c r="D63" i="53"/>
  <c r="D62" i="53"/>
  <c r="D61" i="53"/>
  <c r="D60" i="53"/>
  <c r="D59" i="53"/>
  <c r="D58" i="53"/>
  <c r="D57" i="53"/>
  <c r="D56" i="53"/>
  <c r="D55" i="53"/>
  <c r="D54" i="53"/>
  <c r="D53" i="53"/>
  <c r="D52" i="53"/>
  <c r="D51" i="53"/>
  <c r="D50" i="53"/>
  <c r="D49" i="53"/>
  <c r="D48" i="53"/>
  <c r="D47" i="53"/>
  <c r="D46" i="53"/>
  <c r="D45" i="53"/>
  <c r="D44" i="53"/>
  <c r="D43" i="53"/>
  <c r="D42" i="53"/>
  <c r="D41" i="53"/>
  <c r="D40" i="53"/>
  <c r="D39" i="53"/>
  <c r="D38" i="53"/>
  <c r="D37" i="53"/>
  <c r="D36" i="53"/>
  <c r="D35" i="53"/>
  <c r="D34" i="53"/>
  <c r="D33" i="53"/>
  <c r="D32" i="53"/>
  <c r="D31" i="53"/>
  <c r="D30" i="53"/>
  <c r="D29" i="53"/>
  <c r="D28" i="53"/>
  <c r="D27" i="53"/>
  <c r="D26" i="53"/>
  <c r="D25" i="53"/>
  <c r="D24" i="53"/>
  <c r="D23" i="53"/>
  <c r="D22" i="53"/>
  <c r="D21" i="53"/>
  <c r="D20" i="53"/>
  <c r="D16" i="53"/>
  <c r="D15" i="53"/>
  <c r="D14" i="53"/>
  <c r="D13" i="53"/>
  <c r="D12" i="53"/>
  <c r="D11" i="53"/>
  <c r="D10" i="53"/>
  <c r="D9" i="53"/>
  <c r="D8" i="53"/>
  <c r="D7" i="53"/>
  <c r="D6" i="53"/>
  <c r="D5" i="53"/>
  <c r="D4" i="53"/>
  <c r="D80" i="52"/>
  <c r="D79" i="52"/>
  <c r="D78" i="52"/>
  <c r="D77" i="52"/>
  <c r="D76" i="52"/>
  <c r="D75" i="52"/>
  <c r="D74" i="52"/>
  <c r="D73" i="52"/>
  <c r="D72" i="52"/>
  <c r="D71" i="52"/>
  <c r="D70" i="52"/>
  <c r="D69" i="52"/>
  <c r="D68" i="52"/>
  <c r="D67" i="52"/>
  <c r="D66" i="52"/>
  <c r="D65" i="52"/>
  <c r="D64" i="52"/>
  <c r="D63" i="52"/>
  <c r="D62" i="52"/>
  <c r="D61" i="52"/>
  <c r="D60" i="52"/>
  <c r="D59" i="52"/>
  <c r="D58" i="52"/>
  <c r="D57" i="52"/>
  <c r="D56" i="52"/>
  <c r="D55" i="52"/>
  <c r="D54" i="52"/>
  <c r="D53" i="52"/>
  <c r="D52" i="52"/>
  <c r="D51" i="52"/>
  <c r="D50" i="52"/>
  <c r="D49" i="52"/>
  <c r="D48" i="52"/>
  <c r="D47" i="52"/>
  <c r="D46" i="52"/>
  <c r="D45" i="52"/>
  <c r="D44" i="52"/>
  <c r="D43" i="52"/>
  <c r="D42" i="52"/>
  <c r="D41" i="52"/>
  <c r="D40" i="52"/>
  <c r="D39" i="52"/>
  <c r="D38" i="52"/>
  <c r="D37" i="52"/>
  <c r="D36" i="52"/>
  <c r="D35" i="52"/>
  <c r="D34" i="52"/>
  <c r="D33" i="52"/>
  <c r="D32" i="52"/>
  <c r="D31" i="52"/>
  <c r="D30" i="52"/>
  <c r="D29" i="52"/>
  <c r="D28" i="52"/>
  <c r="D27" i="52"/>
  <c r="D26" i="52"/>
  <c r="D25" i="52"/>
  <c r="D24" i="52"/>
  <c r="D23" i="52"/>
  <c r="D22" i="52"/>
  <c r="D21" i="52"/>
  <c r="D20" i="52"/>
  <c r="D19" i="52"/>
  <c r="D18" i="52"/>
  <c r="D17" i="52"/>
  <c r="D16" i="52"/>
  <c r="D15" i="52"/>
  <c r="D14" i="52"/>
  <c r="D13" i="52"/>
  <c r="D12" i="52"/>
  <c r="D11" i="52"/>
  <c r="D10" i="52"/>
  <c r="D9" i="52"/>
  <c r="D7" i="52"/>
  <c r="D6" i="52"/>
  <c r="D5" i="52"/>
  <c r="D4" i="52"/>
  <c r="D80" i="51"/>
  <c r="D79" i="51"/>
  <c r="D78" i="51"/>
  <c r="D77" i="51"/>
  <c r="D76" i="51"/>
  <c r="D75" i="51"/>
  <c r="D74" i="51"/>
  <c r="D73" i="51"/>
  <c r="D72" i="51"/>
  <c r="D71" i="51"/>
  <c r="D70" i="51"/>
  <c r="D69" i="51"/>
  <c r="D68" i="51"/>
  <c r="D67" i="51"/>
  <c r="D66" i="51"/>
  <c r="D65" i="51"/>
  <c r="D64" i="51"/>
  <c r="D63" i="51"/>
  <c r="D62" i="51"/>
  <c r="D61" i="51"/>
  <c r="D60" i="51"/>
  <c r="D59" i="51"/>
  <c r="D58" i="51"/>
  <c r="D57" i="51"/>
  <c r="D56" i="51"/>
  <c r="D55" i="51"/>
  <c r="D54" i="51"/>
  <c r="D53" i="51"/>
  <c r="D52" i="51"/>
  <c r="D51" i="51"/>
  <c r="D50" i="51"/>
  <c r="D49" i="51"/>
  <c r="D48" i="51"/>
  <c r="D47" i="51"/>
  <c r="D46" i="51"/>
  <c r="D45" i="51"/>
  <c r="D44" i="51"/>
  <c r="D43" i="51"/>
  <c r="D42" i="51"/>
  <c r="D41" i="51"/>
  <c r="D40" i="51"/>
  <c r="D39" i="51"/>
  <c r="D38" i="51"/>
  <c r="D37" i="51"/>
  <c r="D36" i="51"/>
  <c r="D35" i="51"/>
  <c r="D34" i="51"/>
  <c r="D33" i="51"/>
  <c r="D32" i="51"/>
  <c r="D31" i="51"/>
  <c r="D30" i="51"/>
  <c r="D29" i="51"/>
  <c r="D28" i="51"/>
  <c r="D27" i="51"/>
  <c r="D26" i="51"/>
  <c r="D25" i="51"/>
  <c r="D24" i="51"/>
  <c r="D19" i="51"/>
  <c r="D18" i="51"/>
  <c r="D17" i="51"/>
  <c r="D16" i="51"/>
  <c r="D15" i="51"/>
  <c r="D14" i="51"/>
  <c r="D13" i="51"/>
  <c r="D12" i="51"/>
  <c r="D11" i="51"/>
  <c r="D10" i="51"/>
  <c r="D9" i="51"/>
  <c r="D8" i="51"/>
  <c r="D7" i="51"/>
  <c r="D6" i="51"/>
  <c r="D5" i="51"/>
  <c r="D4" i="51"/>
  <c r="D79" i="50"/>
  <c r="D78" i="50"/>
  <c r="D77" i="50"/>
  <c r="D76" i="50"/>
  <c r="D75" i="50"/>
  <c r="D74" i="50"/>
  <c r="D73" i="50"/>
  <c r="D72" i="50"/>
  <c r="D71" i="50"/>
  <c r="D70" i="50"/>
  <c r="D69" i="50"/>
  <c r="D68" i="50"/>
  <c r="D67" i="50"/>
  <c r="D66" i="50"/>
  <c r="D65" i="50"/>
  <c r="D64" i="50"/>
  <c r="D63" i="50"/>
  <c r="D62" i="50"/>
  <c r="D61" i="50"/>
  <c r="D60" i="50"/>
  <c r="D59" i="50"/>
  <c r="D58" i="50"/>
  <c r="D57" i="50"/>
  <c r="D56" i="50"/>
  <c r="D55" i="50"/>
  <c r="D54" i="50"/>
  <c r="D53" i="50"/>
  <c r="D52" i="50"/>
  <c r="D51" i="50"/>
  <c r="D50" i="50"/>
  <c r="D49" i="50"/>
  <c r="D48" i="50"/>
  <c r="D47" i="50"/>
  <c r="D46" i="50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D29" i="50"/>
  <c r="D28" i="50"/>
  <c r="D27" i="50"/>
  <c r="D26" i="50"/>
  <c r="D25" i="50"/>
  <c r="D24" i="50"/>
  <c r="D19" i="50"/>
  <c r="D18" i="50"/>
  <c r="D17" i="50"/>
  <c r="D16" i="50"/>
  <c r="D15" i="50"/>
  <c r="D14" i="50"/>
  <c r="D13" i="50"/>
  <c r="D12" i="50"/>
  <c r="D11" i="50"/>
  <c r="D10" i="50"/>
  <c r="D9" i="50"/>
  <c r="D8" i="50"/>
  <c r="D7" i="50"/>
  <c r="D6" i="50"/>
  <c r="D5" i="50"/>
  <c r="D4" i="50"/>
  <c r="D80" i="49"/>
  <c r="D79" i="49"/>
  <c r="D78" i="49"/>
  <c r="D77" i="49"/>
  <c r="D76" i="49"/>
  <c r="D75" i="49"/>
  <c r="D74" i="49"/>
  <c r="D73" i="49"/>
  <c r="D72" i="49"/>
  <c r="D71" i="49"/>
  <c r="D70" i="49"/>
  <c r="D69" i="49"/>
  <c r="D68" i="49"/>
  <c r="D67" i="49"/>
  <c r="D66" i="49"/>
  <c r="D65" i="49"/>
  <c r="D64" i="49"/>
  <c r="D63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D47" i="49"/>
  <c r="D46" i="49"/>
  <c r="D45" i="49"/>
  <c r="D44" i="49"/>
  <c r="D43" i="49"/>
  <c r="D42" i="49"/>
  <c r="D41" i="49"/>
  <c r="D40" i="49"/>
  <c r="D39" i="49"/>
  <c r="D38" i="49"/>
  <c r="D37" i="49"/>
  <c r="D36" i="49"/>
  <c r="D35" i="49"/>
  <c r="D34" i="49"/>
  <c r="D33" i="49"/>
  <c r="D32" i="49"/>
  <c r="D31" i="49"/>
  <c r="D30" i="49"/>
  <c r="D29" i="49"/>
  <c r="D28" i="49"/>
  <c r="D27" i="49"/>
  <c r="D26" i="49"/>
  <c r="D25" i="49"/>
  <c r="D20" i="49"/>
  <c r="D19" i="49"/>
  <c r="D18" i="49"/>
  <c r="D17" i="49"/>
  <c r="D16" i="49"/>
  <c r="D15" i="49"/>
  <c r="D14" i="49"/>
  <c r="D13" i="49"/>
  <c r="D12" i="49"/>
  <c r="D11" i="49"/>
  <c r="D10" i="49"/>
  <c r="D9" i="49"/>
  <c r="D8" i="49"/>
  <c r="D7" i="49"/>
  <c r="D6" i="49"/>
  <c r="D5" i="49"/>
  <c r="D4" i="49"/>
  <c r="D80" i="48"/>
  <c r="D79" i="48"/>
  <c r="D78" i="48"/>
  <c r="D77" i="48"/>
  <c r="D76" i="48"/>
  <c r="D75" i="48"/>
  <c r="D74" i="48"/>
  <c r="D73" i="48"/>
  <c r="D72" i="48"/>
  <c r="D71" i="48"/>
  <c r="D70" i="48"/>
  <c r="D69" i="48"/>
  <c r="D68" i="48"/>
  <c r="D67" i="48"/>
  <c r="D66" i="48"/>
  <c r="D65" i="48"/>
  <c r="D64" i="48"/>
  <c r="D63" i="48"/>
  <c r="D62" i="48"/>
  <c r="D61" i="48"/>
  <c r="D60" i="48"/>
  <c r="D59" i="48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D6" i="48"/>
  <c r="D5" i="48"/>
  <c r="D4" i="48"/>
  <c r="D80" i="47"/>
  <c r="D79" i="47"/>
  <c r="D78" i="47"/>
  <c r="D77" i="47"/>
  <c r="D76" i="47"/>
  <c r="D75" i="47"/>
  <c r="D74" i="47"/>
  <c r="D73" i="47"/>
  <c r="D72" i="47"/>
  <c r="D71" i="47"/>
  <c r="D70" i="47"/>
  <c r="D69" i="47"/>
  <c r="D68" i="47"/>
  <c r="D67" i="47"/>
  <c r="D66" i="47"/>
  <c r="D65" i="47"/>
  <c r="D64" i="47"/>
  <c r="D63" i="47"/>
  <c r="D62" i="47"/>
  <c r="D61" i="47"/>
  <c r="D60" i="47"/>
  <c r="D59" i="47"/>
  <c r="D58" i="47"/>
  <c r="D57" i="47"/>
  <c r="D56" i="47"/>
  <c r="D55" i="47"/>
  <c r="D54" i="47"/>
  <c r="D53" i="47"/>
  <c r="D52" i="47"/>
  <c r="D51" i="47"/>
  <c r="D50" i="47"/>
  <c r="D49" i="47"/>
  <c r="D48" i="47"/>
  <c r="D47" i="47"/>
  <c r="D46" i="47"/>
  <c r="D45" i="47"/>
  <c r="D44" i="47"/>
  <c r="D43" i="47"/>
  <c r="D42" i="47"/>
  <c r="D41" i="47"/>
  <c r="D40" i="47"/>
  <c r="D39" i="47"/>
  <c r="D38" i="47"/>
  <c r="D37" i="47"/>
  <c r="D36" i="47"/>
  <c r="D35" i="47"/>
  <c r="D34" i="47"/>
  <c r="D33" i="47"/>
  <c r="D32" i="47"/>
  <c r="D31" i="47"/>
  <c r="D30" i="47"/>
  <c r="D29" i="47"/>
  <c r="D28" i="47"/>
  <c r="D27" i="47"/>
  <c r="D26" i="47"/>
  <c r="D25" i="47"/>
  <c r="D24" i="47"/>
  <c r="D18" i="47"/>
  <c r="D17" i="47"/>
  <c r="D16" i="47"/>
  <c r="D15" i="47"/>
  <c r="D13" i="47"/>
  <c r="D12" i="47"/>
  <c r="D11" i="47"/>
  <c r="D10" i="47"/>
  <c r="D9" i="47"/>
  <c r="D8" i="47"/>
  <c r="D7" i="47"/>
  <c r="D6" i="47"/>
  <c r="D5" i="47"/>
  <c r="D4" i="47"/>
  <c r="D80" i="46"/>
  <c r="D79" i="46"/>
  <c r="D78" i="46"/>
  <c r="D77" i="46"/>
  <c r="D76" i="46"/>
  <c r="D75" i="46"/>
  <c r="D74" i="46"/>
  <c r="D73" i="46"/>
  <c r="D72" i="46"/>
  <c r="D71" i="46"/>
  <c r="D70" i="46"/>
  <c r="D69" i="46"/>
  <c r="D68" i="46"/>
  <c r="D67" i="46"/>
  <c r="D66" i="46"/>
  <c r="D65" i="46"/>
  <c r="D64" i="46"/>
  <c r="D63" i="46"/>
  <c r="D62" i="46"/>
  <c r="D61" i="46"/>
  <c r="D60" i="46"/>
  <c r="D59" i="46"/>
  <c r="D58" i="46"/>
  <c r="D57" i="46"/>
  <c r="D56" i="46"/>
  <c r="D55" i="46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39" i="46"/>
  <c r="D38" i="46"/>
  <c r="D37" i="46"/>
  <c r="D36" i="46"/>
  <c r="D35" i="46"/>
  <c r="D34" i="46"/>
  <c r="D33" i="46"/>
  <c r="D32" i="46"/>
  <c r="D31" i="46"/>
  <c r="D30" i="46"/>
  <c r="D29" i="46"/>
  <c r="D28" i="46"/>
  <c r="D27" i="46"/>
  <c r="D26" i="46"/>
  <c r="D25" i="46"/>
  <c r="D24" i="46"/>
  <c r="D23" i="46"/>
  <c r="D22" i="46"/>
  <c r="D21" i="46"/>
  <c r="D20" i="46"/>
  <c r="D19" i="46"/>
  <c r="D18" i="46"/>
  <c r="D17" i="46"/>
  <c r="D16" i="46"/>
  <c r="D15" i="46"/>
  <c r="D14" i="46"/>
  <c r="D13" i="46"/>
  <c r="D12" i="46"/>
  <c r="D11" i="46"/>
  <c r="D10" i="46"/>
  <c r="D8" i="46"/>
  <c r="D7" i="46"/>
  <c r="D6" i="46"/>
  <c r="D5" i="46"/>
  <c r="D4" i="46"/>
  <c r="D80" i="45"/>
  <c r="D79" i="45"/>
  <c r="D78" i="45"/>
  <c r="D77" i="45"/>
  <c r="D76" i="45"/>
  <c r="D75" i="45"/>
  <c r="D74" i="45"/>
  <c r="D73" i="45"/>
  <c r="D72" i="45"/>
  <c r="D71" i="45"/>
  <c r="D70" i="45"/>
  <c r="D69" i="45"/>
  <c r="D68" i="45"/>
  <c r="D67" i="45"/>
  <c r="D66" i="45"/>
  <c r="D65" i="45"/>
  <c r="D64" i="45"/>
  <c r="D63" i="45"/>
  <c r="D62" i="45"/>
  <c r="D61" i="45"/>
  <c r="D60" i="45"/>
  <c r="D59" i="45"/>
  <c r="D58" i="45"/>
  <c r="D57" i="45"/>
  <c r="D56" i="45"/>
  <c r="D55" i="45"/>
  <c r="D54" i="45"/>
  <c r="D53" i="45"/>
  <c r="D52" i="45"/>
  <c r="D51" i="45"/>
  <c r="D50" i="45"/>
  <c r="D49" i="45"/>
  <c r="D48" i="45"/>
  <c r="D47" i="45"/>
  <c r="D46" i="45"/>
  <c r="D45" i="45"/>
  <c r="D44" i="45"/>
  <c r="D43" i="45"/>
  <c r="D42" i="45"/>
  <c r="D41" i="45"/>
  <c r="D40" i="45"/>
  <c r="D39" i="45"/>
  <c r="D38" i="45"/>
  <c r="D37" i="45"/>
  <c r="D36" i="45"/>
  <c r="D35" i="45"/>
  <c r="D34" i="45"/>
  <c r="D33" i="45"/>
  <c r="D32" i="45"/>
  <c r="D31" i="45"/>
  <c r="D30" i="45"/>
  <c r="D29" i="45"/>
  <c r="D28" i="45"/>
  <c r="D27" i="45"/>
  <c r="D26" i="45"/>
  <c r="D25" i="45"/>
  <c r="D24" i="45"/>
  <c r="D23" i="45"/>
  <c r="D17" i="45"/>
  <c r="D16" i="45"/>
  <c r="D15" i="45"/>
  <c r="D14" i="45"/>
  <c r="D13" i="45"/>
  <c r="D12" i="45"/>
  <c r="D11" i="45"/>
  <c r="D10" i="45"/>
  <c r="D9" i="45"/>
  <c r="D8" i="45"/>
  <c r="D7" i="45"/>
  <c r="D6" i="45"/>
  <c r="D5" i="45"/>
  <c r="D4" i="45"/>
  <c r="D80" i="44"/>
  <c r="D79" i="44"/>
  <c r="D78" i="44"/>
  <c r="D77" i="44"/>
  <c r="D76" i="44"/>
  <c r="D75" i="44"/>
  <c r="D74" i="44"/>
  <c r="D73" i="44"/>
  <c r="D72" i="44"/>
  <c r="D71" i="44"/>
  <c r="D70" i="44"/>
  <c r="D69" i="44"/>
  <c r="D68" i="44"/>
  <c r="D67" i="44"/>
  <c r="D66" i="44"/>
  <c r="D65" i="44"/>
  <c r="D64" i="44"/>
  <c r="D63" i="44"/>
  <c r="D62" i="44"/>
  <c r="D61" i="44"/>
  <c r="D60" i="44"/>
  <c r="D59" i="44"/>
  <c r="D58" i="44"/>
  <c r="D57" i="44"/>
  <c r="D56" i="44"/>
  <c r="D55" i="44"/>
  <c r="D54" i="44"/>
  <c r="D53" i="44"/>
  <c r="D52" i="44"/>
  <c r="D51" i="44"/>
  <c r="D50" i="44"/>
  <c r="D49" i="44"/>
  <c r="D48" i="44"/>
  <c r="D47" i="44"/>
  <c r="D46" i="44"/>
  <c r="D45" i="44"/>
  <c r="D44" i="44"/>
  <c r="D43" i="44"/>
  <c r="D42" i="44"/>
  <c r="D41" i="44"/>
  <c r="D40" i="44"/>
  <c r="D39" i="44"/>
  <c r="D38" i="44"/>
  <c r="D37" i="44"/>
  <c r="D36" i="44"/>
  <c r="D35" i="44"/>
  <c r="D34" i="44"/>
  <c r="D33" i="44"/>
  <c r="D32" i="44"/>
  <c r="D31" i="44"/>
  <c r="D30" i="44"/>
  <c r="D29" i="44"/>
  <c r="D28" i="44"/>
  <c r="D27" i="44"/>
  <c r="D26" i="44"/>
  <c r="D25" i="44"/>
  <c r="D24" i="44"/>
  <c r="D23" i="44"/>
  <c r="D22" i="44"/>
  <c r="D21" i="44"/>
  <c r="D20" i="44"/>
  <c r="D19" i="44"/>
  <c r="D18" i="44"/>
  <c r="D17" i="44"/>
  <c r="D11" i="44"/>
  <c r="D10" i="44"/>
  <c r="D9" i="44"/>
  <c r="D8" i="44"/>
  <c r="D7" i="44"/>
  <c r="D6" i="44"/>
  <c r="D5" i="44"/>
  <c r="D4" i="44"/>
  <c r="D79" i="43"/>
  <c r="D78" i="43"/>
  <c r="D77" i="43"/>
  <c r="D76" i="43"/>
  <c r="D75" i="43"/>
  <c r="D74" i="43"/>
  <c r="D73" i="43"/>
  <c r="D72" i="43"/>
  <c r="D71" i="43"/>
  <c r="D70" i="43"/>
  <c r="D69" i="43"/>
  <c r="D68" i="43"/>
  <c r="D67" i="43"/>
  <c r="D66" i="43"/>
  <c r="D65" i="43"/>
  <c r="D64" i="43"/>
  <c r="D63" i="43"/>
  <c r="D62" i="43"/>
  <c r="D61" i="43"/>
  <c r="D60" i="43"/>
  <c r="D59" i="43"/>
  <c r="D58" i="43"/>
  <c r="D57" i="43"/>
  <c r="D56" i="43"/>
  <c r="D55" i="43"/>
  <c r="D54" i="43"/>
  <c r="D53" i="43"/>
  <c r="D52" i="43"/>
  <c r="D51" i="43"/>
  <c r="D50" i="43"/>
  <c r="D49" i="43"/>
  <c r="D48" i="43"/>
  <c r="D47" i="43"/>
  <c r="D46" i="43"/>
  <c r="D45" i="43"/>
  <c r="D44" i="43"/>
  <c r="D43" i="43"/>
  <c r="D42" i="43"/>
  <c r="D41" i="43"/>
  <c r="D40" i="43"/>
  <c r="D39" i="43"/>
  <c r="D38" i="43"/>
  <c r="D37" i="43"/>
  <c r="D36" i="43"/>
  <c r="D35" i="43"/>
  <c r="D34" i="43"/>
  <c r="D33" i="43"/>
  <c r="D32" i="43"/>
  <c r="D31" i="43"/>
  <c r="D30" i="43"/>
  <c r="D29" i="43"/>
  <c r="D28" i="43"/>
  <c r="D22" i="43"/>
  <c r="D21" i="43"/>
  <c r="D20" i="43"/>
  <c r="D19" i="43"/>
  <c r="D18" i="43"/>
  <c r="D17" i="43"/>
  <c r="D16" i="43"/>
  <c r="D15" i="43"/>
  <c r="D14" i="43"/>
  <c r="D13" i="43"/>
  <c r="D12" i="43"/>
  <c r="D11" i="43"/>
  <c r="D10" i="43"/>
  <c r="D9" i="43"/>
  <c r="D8" i="43"/>
  <c r="D7" i="43"/>
  <c r="D6" i="43"/>
  <c r="D5" i="43"/>
  <c r="D4" i="43"/>
  <c r="D81" i="42"/>
  <c r="D80" i="42"/>
  <c r="D79" i="42"/>
  <c r="D78" i="42"/>
  <c r="D77" i="42"/>
  <c r="D76" i="42"/>
  <c r="D75" i="42"/>
  <c r="D74" i="42"/>
  <c r="D73" i="42"/>
  <c r="D72" i="42"/>
  <c r="D71" i="42"/>
  <c r="D70" i="42"/>
  <c r="D69" i="42"/>
  <c r="D68" i="42"/>
  <c r="D67" i="42"/>
  <c r="D66" i="42"/>
  <c r="D65" i="42"/>
  <c r="D64" i="42"/>
  <c r="D63" i="42"/>
  <c r="D62" i="42"/>
  <c r="D61" i="42"/>
  <c r="D60" i="42"/>
  <c r="D59" i="42"/>
  <c r="D58" i="42"/>
  <c r="D57" i="42"/>
  <c r="D56" i="42"/>
  <c r="D55" i="42"/>
  <c r="D54" i="42"/>
  <c r="D53" i="42"/>
  <c r="D52" i="42"/>
  <c r="D51" i="42"/>
  <c r="D50" i="42"/>
  <c r="D49" i="42"/>
  <c r="D48" i="42"/>
  <c r="D47" i="42"/>
  <c r="D46" i="42"/>
  <c r="D45" i="42"/>
  <c r="D44" i="42"/>
  <c r="D43" i="42"/>
  <c r="D42" i="42"/>
  <c r="D41" i="42"/>
  <c r="D40" i="42"/>
  <c r="D39" i="42"/>
  <c r="D38" i="42"/>
  <c r="D37" i="42"/>
  <c r="D36" i="42"/>
  <c r="D35" i="42"/>
  <c r="D34" i="42"/>
  <c r="D33" i="42"/>
  <c r="D32" i="42"/>
  <c r="D31" i="42"/>
  <c r="D30" i="42"/>
  <c r="D29" i="42"/>
  <c r="D28" i="42"/>
  <c r="D27" i="42"/>
  <c r="D26" i="42"/>
  <c r="D25" i="42"/>
  <c r="D24" i="42"/>
  <c r="D23" i="42"/>
  <c r="D22" i="42"/>
  <c r="D21" i="42"/>
  <c r="D20" i="42"/>
  <c r="D14" i="42"/>
  <c r="D13" i="42"/>
  <c r="D12" i="42"/>
  <c r="D11" i="42"/>
  <c r="D10" i="42"/>
  <c r="D9" i="42"/>
  <c r="D8" i="42"/>
  <c r="D7" i="42"/>
  <c r="D6" i="42"/>
  <c r="D5" i="42"/>
  <c r="D4" i="42"/>
  <c r="D80" i="41"/>
  <c r="D79" i="41"/>
  <c r="D78" i="41"/>
  <c r="D77" i="41"/>
  <c r="D76" i="41"/>
  <c r="D75" i="41"/>
  <c r="D74" i="41"/>
  <c r="D73" i="41"/>
  <c r="D72" i="41"/>
  <c r="D71" i="41"/>
  <c r="D70" i="41"/>
  <c r="D69" i="41"/>
  <c r="D68" i="41"/>
  <c r="D67" i="41"/>
  <c r="D66" i="41"/>
  <c r="D65" i="41"/>
  <c r="D64" i="41"/>
  <c r="D63" i="41"/>
  <c r="D62" i="41"/>
  <c r="D61" i="41"/>
  <c r="D60" i="41"/>
  <c r="D59" i="41"/>
  <c r="D58" i="41"/>
  <c r="D57" i="41"/>
  <c r="D56" i="41"/>
  <c r="D55" i="41"/>
  <c r="D54" i="41"/>
  <c r="D53" i="41"/>
  <c r="D52" i="41"/>
  <c r="D51" i="41"/>
  <c r="D50" i="41"/>
  <c r="D49" i="41"/>
  <c r="D48" i="41"/>
  <c r="D47" i="41"/>
  <c r="D46" i="41"/>
  <c r="D45" i="41"/>
  <c r="D44" i="41"/>
  <c r="D43" i="41"/>
  <c r="D42" i="41"/>
  <c r="D41" i="41"/>
  <c r="D40" i="41"/>
  <c r="D39" i="41"/>
  <c r="D38" i="41"/>
  <c r="D37" i="41"/>
  <c r="D36" i="41"/>
  <c r="D35" i="41"/>
  <c r="D34" i="41"/>
  <c r="D33" i="41"/>
  <c r="D32" i="41"/>
  <c r="D31" i="41"/>
  <c r="D30" i="41"/>
  <c r="D29" i="41"/>
  <c r="D28" i="41"/>
  <c r="D27" i="41"/>
  <c r="D26" i="41"/>
  <c r="D25" i="41"/>
  <c r="D24" i="41"/>
  <c r="D23" i="41"/>
  <c r="D22" i="41"/>
  <c r="D21" i="41"/>
  <c r="D20" i="41"/>
  <c r="D19" i="41"/>
  <c r="D18" i="41"/>
  <c r="D17" i="41"/>
  <c r="D16" i="41"/>
  <c r="D15" i="41"/>
  <c r="D14" i="41"/>
  <c r="D13" i="41"/>
  <c r="D12" i="41"/>
  <c r="D11" i="41"/>
  <c r="D10" i="41"/>
  <c r="D9" i="41"/>
  <c r="D8" i="41"/>
  <c r="D7" i="41"/>
  <c r="D6" i="41"/>
  <c r="D5" i="41"/>
  <c r="D4" i="41"/>
  <c r="A6" i="128"/>
  <c r="A29" i="128"/>
  <c r="A36" i="128"/>
  <c r="A37" i="128"/>
  <c r="A40" i="128"/>
  <c r="A17" i="128"/>
  <c r="A90" i="128"/>
  <c r="A14" i="128"/>
  <c r="A77" i="128"/>
  <c r="A75" i="128"/>
  <c r="A73" i="128"/>
  <c r="A46" i="128"/>
  <c r="A55" i="128"/>
  <c r="A64" i="128"/>
  <c r="A85" i="128"/>
  <c r="A88" i="128"/>
  <c r="A31" i="128"/>
  <c r="A66" i="128"/>
  <c r="A44" i="128"/>
  <c r="A92" i="128"/>
  <c r="A48" i="128"/>
  <c r="A67" i="128"/>
  <c r="A98" i="128"/>
  <c r="A12" i="128"/>
  <c r="A15" i="128"/>
  <c r="A79" i="128"/>
  <c r="A47" i="128"/>
  <c r="A97" i="128"/>
  <c r="A38" i="128"/>
  <c r="A84" i="128"/>
  <c r="A53" i="128"/>
  <c r="A30" i="128"/>
  <c r="A9" i="128"/>
  <c r="A24" i="128"/>
  <c r="A18" i="128"/>
  <c r="A74" i="128"/>
  <c r="A21" i="128"/>
  <c r="A54" i="128"/>
  <c r="A62" i="128"/>
  <c r="A49" i="128"/>
  <c r="A72" i="128"/>
  <c r="A23" i="128"/>
  <c r="A76" i="128"/>
  <c r="A57" i="128"/>
  <c r="A91" i="128"/>
  <c r="A11" i="128"/>
  <c r="A8" i="128"/>
  <c r="A33" i="128"/>
  <c r="A81" i="128"/>
  <c r="A56" i="128"/>
  <c r="A95" i="128"/>
  <c r="A50" i="128"/>
  <c r="A63" i="128"/>
  <c r="A78" i="128"/>
  <c r="A28" i="128"/>
  <c r="A93" i="128"/>
  <c r="A42" i="128"/>
  <c r="A26" i="128"/>
  <c r="A82" i="128"/>
  <c r="A100" i="128"/>
  <c r="A89" i="128"/>
  <c r="A27" i="128"/>
  <c r="A101" i="128"/>
  <c r="A99" i="128"/>
  <c r="A45" i="128"/>
  <c r="A20" i="128"/>
  <c r="A94" i="128"/>
  <c r="A10" i="128"/>
  <c r="A43" i="128"/>
  <c r="A65" i="128"/>
  <c r="A41" i="128"/>
  <c r="A71" i="128"/>
  <c r="A32" i="128"/>
  <c r="A39" i="128"/>
  <c r="A25" i="128"/>
  <c r="A83" i="128"/>
  <c r="A34" i="128"/>
  <c r="A86" i="128"/>
  <c r="A60" i="128"/>
  <c r="A51" i="128"/>
  <c r="A69" i="128"/>
  <c r="A35" i="128"/>
  <c r="A52" i="128"/>
  <c r="A70" i="128"/>
  <c r="A19" i="128"/>
  <c r="A87" i="128"/>
  <c r="A16" i="128"/>
  <c r="A59" i="128"/>
  <c r="A61" i="128"/>
  <c r="A7" i="128"/>
  <c r="A13" i="128"/>
  <c r="A80" i="128"/>
  <c r="A68" i="128"/>
  <c r="A96" i="128"/>
  <c r="A22" i="128"/>
  <c r="A58" i="128"/>
  <c r="D80" i="40" l="1"/>
  <c r="D79" i="40"/>
  <c r="D78" i="40"/>
  <c r="D77" i="40"/>
  <c r="D76" i="40"/>
  <c r="D75" i="40"/>
  <c r="D74" i="40"/>
  <c r="D73" i="40"/>
  <c r="D72" i="40"/>
  <c r="D71" i="40"/>
  <c r="D70" i="40"/>
  <c r="D69" i="40"/>
  <c r="D68" i="40"/>
  <c r="D67" i="40"/>
  <c r="D66" i="40"/>
  <c r="D65" i="40"/>
  <c r="D64" i="40"/>
  <c r="D63" i="40"/>
  <c r="D62" i="40"/>
  <c r="D61" i="40"/>
  <c r="D60" i="40"/>
  <c r="D59" i="40"/>
  <c r="D58" i="40"/>
  <c r="D57" i="40"/>
  <c r="D56" i="40"/>
  <c r="D55" i="40"/>
  <c r="D54" i="40"/>
  <c r="D53" i="40"/>
  <c r="D52" i="40"/>
  <c r="D51" i="40"/>
  <c r="D50" i="40"/>
  <c r="D49" i="40"/>
  <c r="D48" i="40"/>
  <c r="D47" i="40"/>
  <c r="D46" i="40"/>
  <c r="D45" i="40"/>
  <c r="D44" i="40"/>
  <c r="D43" i="40"/>
  <c r="D42" i="40"/>
  <c r="D41" i="40"/>
  <c r="D40" i="40"/>
  <c r="D39" i="40"/>
  <c r="D38" i="40"/>
  <c r="D37" i="40"/>
  <c r="D36" i="40"/>
  <c r="D35" i="40"/>
  <c r="D34" i="40"/>
  <c r="D33" i="40"/>
  <c r="D32" i="40"/>
  <c r="D31" i="40"/>
  <c r="D30" i="40"/>
  <c r="D29" i="40"/>
  <c r="D28" i="40"/>
  <c r="D27" i="40"/>
  <c r="D26" i="40"/>
  <c r="D25" i="40"/>
  <c r="D20" i="40"/>
  <c r="D19" i="40"/>
  <c r="D18" i="40"/>
  <c r="D17" i="40"/>
  <c r="D16" i="40"/>
  <c r="D15" i="40"/>
  <c r="D14" i="40"/>
  <c r="D13" i="40"/>
  <c r="D12" i="40"/>
  <c r="D11" i="40"/>
  <c r="D10" i="40"/>
  <c r="D9" i="40"/>
  <c r="D8" i="40"/>
  <c r="D7" i="40"/>
  <c r="D6" i="40"/>
  <c r="D5" i="40"/>
  <c r="D4" i="40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19" i="39"/>
  <c r="D18" i="39"/>
  <c r="D17" i="39"/>
  <c r="D16" i="39"/>
  <c r="D15" i="39"/>
  <c r="D14" i="39"/>
  <c r="D13" i="39"/>
  <c r="D12" i="39"/>
  <c r="D11" i="39"/>
  <c r="D10" i="39"/>
  <c r="D9" i="39"/>
  <c r="D8" i="39"/>
  <c r="D7" i="39"/>
  <c r="D6" i="39"/>
  <c r="D5" i="39"/>
  <c r="D4" i="39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D66" i="38"/>
  <c r="D65" i="38"/>
  <c r="D64" i="38"/>
  <c r="D63" i="38"/>
  <c r="D62" i="38"/>
  <c r="D61" i="38"/>
  <c r="D60" i="38"/>
  <c r="D59" i="38"/>
  <c r="D58" i="38"/>
  <c r="D57" i="38"/>
  <c r="D56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2" i="38"/>
  <c r="D11" i="38"/>
  <c r="D10" i="38"/>
  <c r="D9" i="38"/>
  <c r="D8" i="38"/>
  <c r="D7" i="38"/>
  <c r="D6" i="38"/>
  <c r="D5" i="38"/>
  <c r="D4" i="38"/>
  <c r="D80" i="37"/>
  <c r="D79" i="37"/>
  <c r="D78" i="37"/>
  <c r="D77" i="37"/>
  <c r="D76" i="37"/>
  <c r="D75" i="37"/>
  <c r="D74" i="37"/>
  <c r="D73" i="37"/>
  <c r="D72" i="37"/>
  <c r="D71" i="37"/>
  <c r="D70" i="37"/>
  <c r="D69" i="37"/>
  <c r="D68" i="37"/>
  <c r="D67" i="37"/>
  <c r="D66" i="37"/>
  <c r="D65" i="37"/>
  <c r="D64" i="37"/>
  <c r="D63" i="37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16" i="37"/>
  <c r="D15" i="37"/>
  <c r="D14" i="37"/>
  <c r="D13" i="37"/>
  <c r="D12" i="37"/>
  <c r="D11" i="37"/>
  <c r="D10" i="37"/>
  <c r="D9" i="37"/>
  <c r="D8" i="37"/>
  <c r="D7" i="37"/>
  <c r="D6" i="37"/>
  <c r="D5" i="37"/>
  <c r="D4" i="37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8" i="36"/>
  <c r="D7" i="36"/>
  <c r="D6" i="36"/>
  <c r="D5" i="36"/>
  <c r="D4" i="36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3" i="35"/>
  <c r="D12" i="35"/>
  <c r="D11" i="35"/>
  <c r="D10" i="35"/>
  <c r="D9" i="35"/>
  <c r="D8" i="35"/>
  <c r="D7" i="35"/>
  <c r="D6" i="35"/>
  <c r="D5" i="35"/>
  <c r="D4" i="35"/>
  <c r="D80" i="34"/>
  <c r="D79" i="34"/>
  <c r="D78" i="34"/>
  <c r="D77" i="34"/>
  <c r="D76" i="34"/>
  <c r="D75" i="34"/>
  <c r="D74" i="34"/>
  <c r="D73" i="34"/>
  <c r="D72" i="34"/>
  <c r="D71" i="34"/>
  <c r="D70" i="34"/>
  <c r="D69" i="34"/>
  <c r="D68" i="34"/>
  <c r="D67" i="34"/>
  <c r="D66" i="34"/>
  <c r="D65" i="34"/>
  <c r="D64" i="34"/>
  <c r="D63" i="34"/>
  <c r="D62" i="34"/>
  <c r="D61" i="34"/>
  <c r="D60" i="34"/>
  <c r="D59" i="34"/>
  <c r="D58" i="34"/>
  <c r="D57" i="34"/>
  <c r="D56" i="34"/>
  <c r="D55" i="34"/>
  <c r="D54" i="34"/>
  <c r="D53" i="34"/>
  <c r="D52" i="34"/>
  <c r="D51" i="34"/>
  <c r="D50" i="34"/>
  <c r="D49" i="34"/>
  <c r="D48" i="34"/>
  <c r="D47" i="34"/>
  <c r="D46" i="34"/>
  <c r="D45" i="34"/>
  <c r="D44" i="34"/>
  <c r="D43" i="34"/>
  <c r="D42" i="34"/>
  <c r="D41" i="34"/>
  <c r="D40" i="34"/>
  <c r="D39" i="34"/>
  <c r="D38" i="34"/>
  <c r="D37" i="34"/>
  <c r="D36" i="34"/>
  <c r="D35" i="34"/>
  <c r="D34" i="34"/>
  <c r="D33" i="34"/>
  <c r="D32" i="34"/>
  <c r="D31" i="34"/>
  <c r="D30" i="34"/>
  <c r="D29" i="34"/>
  <c r="D28" i="34"/>
  <c r="D27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6" i="34"/>
  <c r="D5" i="34"/>
  <c r="D4" i="34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5" i="33"/>
  <c r="D14" i="33"/>
  <c r="D13" i="33"/>
  <c r="D12" i="33"/>
  <c r="D11" i="33"/>
  <c r="D10" i="33"/>
  <c r="D8" i="33"/>
  <c r="D7" i="33"/>
  <c r="D6" i="33"/>
  <c r="D5" i="33"/>
  <c r="D4" i="33"/>
  <c r="D80" i="32"/>
  <c r="D79" i="32"/>
  <c r="D78" i="32"/>
  <c r="D77" i="32"/>
  <c r="D76" i="32"/>
  <c r="D75" i="32"/>
  <c r="D74" i="32"/>
  <c r="D73" i="32"/>
  <c r="D72" i="32"/>
  <c r="D71" i="32"/>
  <c r="D70" i="32"/>
  <c r="D69" i="32"/>
  <c r="D68" i="32"/>
  <c r="D67" i="32"/>
  <c r="D66" i="32"/>
  <c r="D65" i="32"/>
  <c r="D64" i="32"/>
  <c r="D63" i="32"/>
  <c r="D62" i="32"/>
  <c r="D61" i="32"/>
  <c r="D60" i="32"/>
  <c r="D59" i="32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9" i="32"/>
  <c r="D8" i="32"/>
  <c r="D7" i="32"/>
  <c r="D6" i="32"/>
  <c r="D5" i="32"/>
  <c r="D4" i="32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8" i="31"/>
  <c r="D7" i="31"/>
  <c r="D6" i="31"/>
  <c r="D5" i="31"/>
  <c r="D4" i="31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D6" i="30"/>
  <c r="D5" i="30"/>
  <c r="D4" i="30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17" i="29"/>
  <c r="D16" i="29"/>
  <c r="D15" i="29"/>
  <c r="D14" i="29"/>
  <c r="D13" i="29"/>
  <c r="D12" i="29"/>
  <c r="D11" i="29"/>
  <c r="D10" i="29"/>
  <c r="D9" i="29"/>
  <c r="D8" i="29"/>
  <c r="D7" i="29"/>
  <c r="D6" i="29"/>
  <c r="D5" i="29"/>
  <c r="D4" i="29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3" i="28"/>
  <c r="D11" i="28"/>
  <c r="D10" i="28"/>
  <c r="D9" i="28"/>
  <c r="D8" i="28"/>
  <c r="D7" i="28"/>
  <c r="D6" i="28"/>
  <c r="D5" i="28"/>
  <c r="D4" i="28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5" i="27"/>
  <c r="D4" i="27"/>
  <c r="D80" i="26"/>
  <c r="D79" i="26"/>
  <c r="D78" i="26"/>
  <c r="D77" i="26"/>
  <c r="D76" i="26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D4" i="26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D5" i="24"/>
  <c r="D4" i="24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1" i="23"/>
  <c r="D10" i="23"/>
  <c r="D9" i="23"/>
  <c r="D8" i="23"/>
  <c r="D7" i="23"/>
  <c r="D6" i="23"/>
  <c r="D5" i="23"/>
  <c r="D4" i="23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79" i="21"/>
  <c r="D78" i="21"/>
  <c r="D77" i="21"/>
  <c r="D76" i="21"/>
  <c r="D75" i="21"/>
  <c r="D74" i="21"/>
  <c r="D73" i="21"/>
  <c r="D72" i="21"/>
  <c r="D71" i="21"/>
  <c r="D70" i="21"/>
  <c r="D69" i="21"/>
  <c r="D68" i="21"/>
  <c r="D67" i="21"/>
  <c r="D66" i="21"/>
  <c r="D65" i="21"/>
  <c r="D64" i="21"/>
  <c r="D63" i="21"/>
  <c r="D62" i="21"/>
  <c r="D61" i="21"/>
  <c r="D60" i="21"/>
  <c r="D59" i="21"/>
  <c r="D58" i="21"/>
  <c r="D57" i="21"/>
  <c r="D56" i="21"/>
  <c r="D55" i="21"/>
  <c r="D54" i="21"/>
  <c r="D53" i="21"/>
  <c r="D52" i="21"/>
  <c r="D51" i="21"/>
  <c r="D50" i="21"/>
  <c r="D49" i="21"/>
  <c r="D48" i="21"/>
  <c r="D47" i="21"/>
  <c r="D46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D4" i="21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4" i="18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1" i="16"/>
  <c r="D10" i="16"/>
  <c r="D9" i="16"/>
  <c r="D8" i="16"/>
  <c r="D7" i="16"/>
  <c r="D6" i="16"/>
  <c r="D5" i="16"/>
  <c r="D4" i="16"/>
  <c r="D79" i="15"/>
  <c r="D78" i="15"/>
  <c r="D77" i="15"/>
  <c r="D76" i="15"/>
  <c r="D75" i="15"/>
  <c r="D74" i="15"/>
  <c r="D73" i="15"/>
  <c r="D72" i="15"/>
  <c r="D71" i="15"/>
  <c r="D70" i="15"/>
  <c r="D69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79" i="14"/>
  <c r="D78" i="14"/>
  <c r="D77" i="14"/>
  <c r="D76" i="14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15" i="14"/>
  <c r="D14" i="14"/>
  <c r="D13" i="14"/>
  <c r="D12" i="14"/>
  <c r="D11" i="14"/>
  <c r="D10" i="14"/>
  <c r="D9" i="14"/>
  <c r="D8" i="14"/>
  <c r="D7" i="14"/>
  <c r="D6" i="14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2" i="13"/>
  <c r="D11" i="13"/>
  <c r="D10" i="13"/>
  <c r="D9" i="13"/>
  <c r="D8" i="13"/>
  <c r="D7" i="13"/>
  <c r="D6" i="13"/>
  <c r="D5" i="13"/>
  <c r="D4" i="13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17" i="11"/>
  <c r="D15" i="11"/>
  <c r="D14" i="11"/>
  <c r="D13" i="11"/>
  <c r="D12" i="11"/>
  <c r="D11" i="11"/>
  <c r="D10" i="11"/>
  <c r="D9" i="11"/>
  <c r="D8" i="11"/>
  <c r="D7" i="11"/>
  <c r="D6" i="11"/>
  <c r="D4" i="11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0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3" i="9"/>
  <c r="D22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4" i="8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18" i="6"/>
  <c r="D17" i="6"/>
  <c r="D16" i="6"/>
  <c r="D15" i="6"/>
  <c r="D14" i="6"/>
  <c r="D13" i="6"/>
  <c r="D12" i="6"/>
  <c r="D11" i="6"/>
  <c r="D10" i="6"/>
  <c r="D9" i="6"/>
  <c r="D8" i="6"/>
  <c r="D6" i="6"/>
  <c r="D5" i="6"/>
  <c r="D4" i="6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5" i="4"/>
  <c r="D4" i="4"/>
  <c r="L20" i="128"/>
  <c r="B29" i="128"/>
  <c r="L64" i="128"/>
  <c r="B67" i="128"/>
  <c r="L92" i="128"/>
  <c r="B98" i="128"/>
  <c r="B50" i="128"/>
  <c r="B20" i="128"/>
  <c r="B57" i="128"/>
  <c r="L74" i="128"/>
  <c r="L78" i="128"/>
  <c r="B92" i="128"/>
  <c r="B22" i="128"/>
  <c r="B48" i="128"/>
  <c r="B65" i="128"/>
  <c r="L83" i="128"/>
  <c r="B60" i="128"/>
  <c r="B81" i="128"/>
  <c r="L16" i="128"/>
  <c r="B59" i="128"/>
  <c r="L57" i="128"/>
  <c r="L17" i="128"/>
  <c r="B95" i="128"/>
  <c r="L63" i="128"/>
  <c r="L30" i="128"/>
  <c r="B23" i="128"/>
  <c r="B76" i="128"/>
  <c r="L101" i="128"/>
  <c r="B64" i="128"/>
  <c r="L21" i="128"/>
  <c r="L14" i="128"/>
  <c r="L94" i="128"/>
  <c r="B14" i="128"/>
  <c r="B94" i="128"/>
  <c r="L90" i="128"/>
  <c r="L34" i="128"/>
  <c r="L23" i="128"/>
  <c r="B54" i="128"/>
  <c r="L70" i="128"/>
  <c r="B40" i="128"/>
  <c r="B49" i="128"/>
  <c r="L76" i="128"/>
  <c r="B87" i="128"/>
  <c r="B88" i="128"/>
  <c r="L25" i="128"/>
  <c r="L19" i="128"/>
  <c r="L49" i="128"/>
  <c r="B77" i="128"/>
  <c r="L100" i="128"/>
  <c r="L58" i="128"/>
  <c r="B12" i="128"/>
  <c r="L13" i="128"/>
  <c r="L72" i="128"/>
  <c r="L67" i="128"/>
  <c r="B89" i="128"/>
  <c r="B75" i="128"/>
  <c r="B38" i="128"/>
  <c r="L61" i="128"/>
  <c r="L32" i="128"/>
  <c r="B10" i="128"/>
  <c r="L55" i="128"/>
  <c r="B44" i="128"/>
  <c r="B84" i="128"/>
  <c r="L75" i="128"/>
  <c r="L48" i="128"/>
  <c r="B90" i="128"/>
  <c r="B99" i="128"/>
  <c r="L18" i="128"/>
  <c r="L87" i="128"/>
  <c r="L52" i="128"/>
  <c r="B78" i="128"/>
  <c r="B73" i="128"/>
  <c r="L89" i="128"/>
  <c r="L40" i="128"/>
  <c r="L96" i="128"/>
  <c r="L36" i="128"/>
  <c r="B61" i="128"/>
  <c r="L10" i="128"/>
  <c r="L24" i="128"/>
  <c r="B42" i="128"/>
  <c r="L81" i="128"/>
  <c r="B26" i="128"/>
  <c r="B74" i="128"/>
  <c r="B9" i="128"/>
  <c r="B7" i="128"/>
  <c r="L60" i="128"/>
  <c r="L84" i="128"/>
  <c r="L91" i="128"/>
  <c r="L47" i="128"/>
  <c r="L93" i="128"/>
  <c r="L62" i="128"/>
  <c r="B97" i="128"/>
  <c r="L41" i="128"/>
  <c r="B52" i="128"/>
  <c r="L77" i="128"/>
  <c r="L28" i="128"/>
  <c r="B35" i="128"/>
  <c r="L42" i="128"/>
  <c r="L22" i="128"/>
  <c r="L99" i="128"/>
  <c r="B80" i="128"/>
  <c r="B46" i="128"/>
  <c r="L98" i="128"/>
  <c r="B41" i="128"/>
  <c r="L56" i="128"/>
  <c r="L59" i="128"/>
  <c r="L8" i="128"/>
  <c r="B100" i="128"/>
  <c r="B69" i="128"/>
  <c r="B36" i="128"/>
  <c r="B31" i="128"/>
  <c r="B68" i="128"/>
  <c r="L97" i="128"/>
  <c r="B47" i="128"/>
  <c r="B15" i="128"/>
  <c r="L86" i="128"/>
  <c r="B53" i="128"/>
  <c r="L31" i="128"/>
  <c r="B71" i="128"/>
  <c r="L82" i="128"/>
  <c r="L85" i="128"/>
  <c r="L37" i="128"/>
  <c r="L51" i="128"/>
  <c r="B56" i="128"/>
  <c r="L29" i="128"/>
  <c r="B11" i="128"/>
  <c r="B17" i="128"/>
  <c r="B43" i="128"/>
  <c r="B13" i="128"/>
  <c r="L9" i="128"/>
  <c r="B16" i="128"/>
  <c r="B6" i="128"/>
  <c r="B21" i="128"/>
  <c r="B39" i="128"/>
  <c r="L26" i="128"/>
  <c r="B91" i="128"/>
  <c r="B24" i="128"/>
  <c r="B55" i="128"/>
  <c r="B93" i="128"/>
  <c r="L53" i="128"/>
  <c r="L43" i="128"/>
  <c r="B86" i="128"/>
  <c r="L27" i="128"/>
  <c r="B82" i="128"/>
  <c r="B25" i="128"/>
  <c r="L12" i="128"/>
  <c r="L38" i="128"/>
  <c r="L15" i="128"/>
  <c r="L45" i="128"/>
  <c r="B85" i="128"/>
  <c r="B83" i="128"/>
  <c r="L95" i="128"/>
  <c r="B72" i="128"/>
  <c r="B96" i="128"/>
  <c r="L50" i="128"/>
  <c r="B8" i="128"/>
  <c r="L54" i="128"/>
  <c r="B34" i="128"/>
  <c r="L11" i="128"/>
  <c r="B28" i="128"/>
  <c r="L69" i="128"/>
  <c r="B30" i="128"/>
  <c r="B63" i="128"/>
  <c r="B58" i="128"/>
  <c r="L39" i="128"/>
  <c r="B33" i="128"/>
  <c r="L80" i="128"/>
  <c r="B27" i="128"/>
  <c r="L73" i="128"/>
  <c r="L7" i="128"/>
  <c r="L35" i="128"/>
  <c r="L6" i="128"/>
  <c r="B62" i="128"/>
  <c r="B32" i="128"/>
  <c r="B66" i="128"/>
  <c r="L88" i="128"/>
  <c r="B45" i="128"/>
  <c r="L44" i="128"/>
  <c r="L65" i="128"/>
  <c r="B37" i="128"/>
  <c r="B79" i="128"/>
  <c r="B70" i="128"/>
  <c r="L68" i="128"/>
  <c r="L79" i="128"/>
  <c r="B51" i="128"/>
  <c r="L71" i="128"/>
  <c r="L33" i="128"/>
  <c r="B18" i="128"/>
  <c r="L46" i="128"/>
  <c r="L66" i="128"/>
  <c r="C29" i="128" l="1"/>
  <c r="C60" i="128"/>
  <c r="C54" i="128"/>
  <c r="C72" i="128"/>
  <c r="C32" i="128"/>
  <c r="C38" i="128"/>
  <c r="C19" i="128"/>
  <c r="C50" i="128"/>
  <c r="C90" i="128"/>
  <c r="C74" i="128"/>
  <c r="C41" i="128"/>
  <c r="C93" i="128"/>
  <c r="C46" i="128"/>
  <c r="C27" i="128"/>
  <c r="C59" i="128"/>
  <c r="C33" i="128"/>
  <c r="C85" i="128"/>
  <c r="C100" i="128"/>
  <c r="C84" i="128"/>
  <c r="C68" i="128"/>
  <c r="C13" i="128"/>
  <c r="C91" i="128"/>
  <c r="C36" i="128"/>
  <c r="C24" i="128"/>
  <c r="C96" i="128"/>
  <c r="C89" i="128"/>
  <c r="C22" i="128"/>
  <c r="C61" i="128"/>
  <c r="C83" i="128"/>
  <c r="C67" i="128"/>
  <c r="C49" i="128"/>
  <c r="C23" i="128"/>
  <c r="C31" i="128"/>
  <c r="C48" i="128"/>
  <c r="C88" i="128"/>
  <c r="C6" i="128"/>
  <c r="C71" i="128"/>
  <c r="C92" i="128"/>
  <c r="C86" i="128"/>
  <c r="C70" i="128"/>
  <c r="C37" i="128"/>
  <c r="C21" i="128"/>
  <c r="C47" i="128"/>
  <c r="C62" i="128"/>
  <c r="C99" i="128"/>
  <c r="C42" i="128"/>
  <c r="C64" i="128"/>
  <c r="C73" i="128"/>
  <c r="C66" i="128"/>
  <c r="C80" i="128"/>
  <c r="C56" i="128"/>
  <c r="C20" i="128"/>
  <c r="C101" i="128"/>
  <c r="C11" i="128"/>
  <c r="C43" i="128"/>
  <c r="C26" i="128"/>
  <c r="C81" i="128"/>
  <c r="C79" i="128"/>
  <c r="C55" i="128"/>
  <c r="C7" i="128"/>
  <c r="C9" i="128"/>
  <c r="C10" i="128"/>
  <c r="C65" i="128"/>
  <c r="C78" i="128"/>
  <c r="C16" i="128"/>
  <c r="C39" i="128"/>
  <c r="C57" i="128"/>
  <c r="C28" i="128"/>
  <c r="C12" i="128"/>
  <c r="C40" i="128"/>
  <c r="C87" i="128"/>
  <c r="C51" i="128"/>
  <c r="C63" i="128"/>
  <c r="C82" i="128"/>
  <c r="C58" i="128"/>
  <c r="C53" i="128"/>
  <c r="C44" i="128"/>
  <c r="C30" i="128"/>
  <c r="C98" i="128"/>
  <c r="C76" i="128"/>
  <c r="C52" i="128"/>
  <c r="C17" i="128"/>
  <c r="C77" i="128"/>
  <c r="C97" i="128"/>
  <c r="C8" i="128"/>
  <c r="C25" i="128"/>
  <c r="C35" i="128"/>
  <c r="C69" i="128"/>
  <c r="C18" i="128"/>
  <c r="C34" i="128"/>
  <c r="C14" i="128"/>
  <c r="C94" i="128"/>
  <c r="C75" i="128"/>
  <c r="C45" i="128"/>
  <c r="C95" i="128"/>
  <c r="C15" i="128"/>
  <c r="F29" i="128" l="1"/>
  <c r="D29" i="128"/>
  <c r="G29" i="128"/>
  <c r="E29" i="128"/>
  <c r="G45" i="128"/>
  <c r="F45" i="128"/>
  <c r="E34" i="128"/>
  <c r="D34" i="128"/>
  <c r="F97" i="128"/>
  <c r="G97" i="128"/>
  <c r="G52" i="128"/>
  <c r="D52" i="128"/>
  <c r="F52" i="128"/>
  <c r="E52" i="128"/>
  <c r="F44" i="128"/>
  <c r="G44" i="128"/>
  <c r="E58" i="128"/>
  <c r="D58" i="128"/>
  <c r="F40" i="128"/>
  <c r="G40" i="128"/>
  <c r="E40" i="128"/>
  <c r="D40" i="128"/>
  <c r="F39" i="128"/>
  <c r="G39" i="128"/>
  <c r="D39" i="128"/>
  <c r="E39" i="128"/>
  <c r="D10" i="128"/>
  <c r="E10" i="128"/>
  <c r="F79" i="128"/>
  <c r="G79" i="128"/>
  <c r="E79" i="128"/>
  <c r="D79" i="128"/>
  <c r="G26" i="128"/>
  <c r="F26" i="128"/>
  <c r="D26" i="128"/>
  <c r="E26" i="128"/>
  <c r="F80" i="128"/>
  <c r="G80" i="128"/>
  <c r="E80" i="128"/>
  <c r="D80" i="128"/>
  <c r="E64" i="128"/>
  <c r="G64" i="128"/>
  <c r="D64" i="128"/>
  <c r="F64" i="128"/>
  <c r="E47" i="128"/>
  <c r="G47" i="128"/>
  <c r="D47" i="128"/>
  <c r="F47" i="128"/>
  <c r="D70" i="128"/>
  <c r="E70" i="128"/>
  <c r="F70" i="128"/>
  <c r="G70" i="128"/>
  <c r="F71" i="128"/>
  <c r="G71" i="128"/>
  <c r="E71" i="128"/>
  <c r="D71" i="128"/>
  <c r="D48" i="128"/>
  <c r="G48" i="128"/>
  <c r="F48" i="128"/>
  <c r="E48" i="128"/>
  <c r="F23" i="128"/>
  <c r="E23" i="128"/>
  <c r="D23" i="128"/>
  <c r="G23" i="128"/>
  <c r="E36" i="128"/>
  <c r="D36" i="128"/>
  <c r="F36" i="128"/>
  <c r="G36" i="128"/>
  <c r="D68" i="128"/>
  <c r="G68" i="128"/>
  <c r="F68" i="128"/>
  <c r="E68" i="128"/>
  <c r="F85" i="128"/>
  <c r="E85" i="128"/>
  <c r="G85" i="128"/>
  <c r="D85" i="128"/>
  <c r="D46" i="128"/>
  <c r="F46" i="128"/>
  <c r="E46" i="128"/>
  <c r="G46" i="128"/>
  <c r="F90" i="128"/>
  <c r="G90" i="128"/>
  <c r="F38" i="128"/>
  <c r="D38" i="128"/>
  <c r="G38" i="128"/>
  <c r="E38" i="128"/>
  <c r="F72" i="128"/>
  <c r="G72" i="128"/>
  <c r="E72" i="128"/>
  <c r="D72" i="128"/>
  <c r="E75" i="128"/>
  <c r="D75" i="128"/>
  <c r="F75" i="128"/>
  <c r="G75" i="128"/>
  <c r="E18" i="128"/>
  <c r="D18" i="128"/>
  <c r="F35" i="128"/>
  <c r="G35" i="128"/>
  <c r="F77" i="128"/>
  <c r="G77" i="128"/>
  <c r="E77" i="128"/>
  <c r="D77" i="128"/>
  <c r="D76" i="128"/>
  <c r="G76" i="128"/>
  <c r="F76" i="128"/>
  <c r="E76" i="128"/>
  <c r="E53" i="128"/>
  <c r="D53" i="128"/>
  <c r="F53" i="128"/>
  <c r="G53" i="128"/>
  <c r="F82" i="128"/>
  <c r="G82" i="128"/>
  <c r="E82" i="128"/>
  <c r="D82" i="128"/>
  <c r="D63" i="128"/>
  <c r="G63" i="128"/>
  <c r="E63" i="128"/>
  <c r="F63" i="128"/>
  <c r="G12" i="128"/>
  <c r="F12" i="128"/>
  <c r="G16" i="128"/>
  <c r="F16" i="128"/>
  <c r="E16" i="128"/>
  <c r="D16" i="128"/>
  <c r="D9" i="128"/>
  <c r="G9" i="128"/>
  <c r="F9" i="128"/>
  <c r="E9" i="128"/>
  <c r="G43" i="128"/>
  <c r="F43" i="128"/>
  <c r="F101" i="128"/>
  <c r="G101" i="128"/>
  <c r="D42" i="128"/>
  <c r="E42" i="128"/>
  <c r="D21" i="128"/>
  <c r="G21" i="128"/>
  <c r="F21" i="128"/>
  <c r="E21" i="128"/>
  <c r="G86" i="128"/>
  <c r="E86" i="128"/>
  <c r="F86" i="128"/>
  <c r="D86" i="128"/>
  <c r="E6" i="128"/>
  <c r="D6" i="128"/>
  <c r="D49" i="128"/>
  <c r="E49" i="128"/>
  <c r="G61" i="128"/>
  <c r="F61" i="128"/>
  <c r="D61" i="128"/>
  <c r="E61" i="128"/>
  <c r="G96" i="128"/>
  <c r="F96" i="128"/>
  <c r="D84" i="128"/>
  <c r="G84" i="128"/>
  <c r="F84" i="128"/>
  <c r="E84" i="128"/>
  <c r="D33" i="128"/>
  <c r="E33" i="128"/>
  <c r="F93" i="128"/>
  <c r="G93" i="128"/>
  <c r="E50" i="128"/>
  <c r="D50" i="128"/>
  <c r="G15" i="128"/>
  <c r="F15" i="128"/>
  <c r="E15" i="128"/>
  <c r="D15" i="128"/>
  <c r="G94" i="128"/>
  <c r="F94" i="128"/>
  <c r="F69" i="128"/>
  <c r="E69" i="128"/>
  <c r="G69" i="128"/>
  <c r="D69" i="128"/>
  <c r="F25" i="128"/>
  <c r="D25" i="128"/>
  <c r="G25" i="128"/>
  <c r="E25" i="128"/>
  <c r="E17" i="128"/>
  <c r="D17" i="128"/>
  <c r="F51" i="128"/>
  <c r="G51" i="128"/>
  <c r="G28" i="128"/>
  <c r="F28" i="128"/>
  <c r="E28" i="128"/>
  <c r="D28" i="128"/>
  <c r="F78" i="128"/>
  <c r="G78" i="128"/>
  <c r="E78" i="128"/>
  <c r="D78" i="128"/>
  <c r="D7" i="128"/>
  <c r="E7" i="128"/>
  <c r="E20" i="128"/>
  <c r="D20" i="128"/>
  <c r="G20" i="128"/>
  <c r="F20" i="128"/>
  <c r="G99" i="128"/>
  <c r="F99" i="128"/>
  <c r="E88" i="128"/>
  <c r="D88" i="128"/>
  <c r="F88" i="128"/>
  <c r="G88" i="128"/>
  <c r="F67" i="128"/>
  <c r="G67" i="128"/>
  <c r="E67" i="128"/>
  <c r="D67" i="128"/>
  <c r="E22" i="128"/>
  <c r="D22" i="128"/>
  <c r="F22" i="128"/>
  <c r="G22" i="128"/>
  <c r="F91" i="128"/>
  <c r="G91" i="128"/>
  <c r="F59" i="128"/>
  <c r="E59" i="128"/>
  <c r="D59" i="128"/>
  <c r="G59" i="128"/>
  <c r="E41" i="128"/>
  <c r="D41" i="128"/>
  <c r="F32" i="128"/>
  <c r="E32" i="128"/>
  <c r="D32" i="128"/>
  <c r="G32" i="128"/>
  <c r="E54" i="128"/>
  <c r="D54" i="128"/>
  <c r="F54" i="128"/>
  <c r="G54" i="128"/>
  <c r="F95" i="128"/>
  <c r="G95" i="128"/>
  <c r="D14" i="128"/>
  <c r="G14" i="128"/>
  <c r="F14" i="128"/>
  <c r="E14" i="128"/>
  <c r="F8" i="128"/>
  <c r="E8" i="128"/>
  <c r="D8" i="128"/>
  <c r="G8" i="128"/>
  <c r="E30" i="128"/>
  <c r="D30" i="128"/>
  <c r="G30" i="128"/>
  <c r="F30" i="128"/>
  <c r="F87" i="128"/>
  <c r="G87" i="128"/>
  <c r="E87" i="128"/>
  <c r="D87" i="128"/>
  <c r="F57" i="128"/>
  <c r="D57" i="128"/>
  <c r="G57" i="128"/>
  <c r="E57" i="128"/>
  <c r="D65" i="128"/>
  <c r="E65" i="128"/>
  <c r="F55" i="128"/>
  <c r="G55" i="128"/>
  <c r="E55" i="128"/>
  <c r="D55" i="128"/>
  <c r="F81" i="128"/>
  <c r="D81" i="128"/>
  <c r="G81" i="128"/>
  <c r="E81" i="128"/>
  <c r="E11" i="128"/>
  <c r="D11" i="128"/>
  <c r="G56" i="128"/>
  <c r="E56" i="128"/>
  <c r="F56" i="128"/>
  <c r="D56" i="128"/>
  <c r="F73" i="128"/>
  <c r="D73" i="128"/>
  <c r="E73" i="128"/>
  <c r="G73" i="128"/>
  <c r="F62" i="128"/>
  <c r="E62" i="128"/>
  <c r="D62" i="128"/>
  <c r="G62" i="128"/>
  <c r="E37" i="128"/>
  <c r="D37" i="128"/>
  <c r="F37" i="128"/>
  <c r="G37" i="128"/>
  <c r="G92" i="128"/>
  <c r="F92" i="128"/>
  <c r="F31" i="128"/>
  <c r="E31" i="128"/>
  <c r="D31" i="128"/>
  <c r="G31" i="128"/>
  <c r="E83" i="128"/>
  <c r="D83" i="128"/>
  <c r="F83" i="128"/>
  <c r="G83" i="128"/>
  <c r="G89" i="128"/>
  <c r="E89" i="128"/>
  <c r="F89" i="128"/>
  <c r="D89" i="128"/>
  <c r="E24" i="128"/>
  <c r="D24" i="128"/>
  <c r="G24" i="128"/>
  <c r="F24" i="128"/>
  <c r="F13" i="128"/>
  <c r="G13" i="128"/>
  <c r="F100" i="128"/>
  <c r="G100" i="128"/>
  <c r="G27" i="128"/>
  <c r="F27" i="128"/>
  <c r="E27" i="128"/>
  <c r="D27" i="128"/>
  <c r="F74" i="128"/>
  <c r="D74" i="128"/>
  <c r="G74" i="128"/>
  <c r="E74" i="128"/>
  <c r="D60" i="128"/>
  <c r="G60" i="128"/>
  <c r="F60" i="128"/>
  <c r="E60" i="128"/>
</calcChain>
</file>

<file path=xl/sharedStrings.xml><?xml version="1.0" encoding="utf-8"?>
<sst xmlns="http://schemas.openxmlformats.org/spreadsheetml/2006/main" count="2974" uniqueCount="89">
  <si>
    <t>Electrode:</t>
  </si>
  <si>
    <r>
      <t>*For</t>
    </r>
    <r>
      <rPr>
        <b/>
        <sz val="11"/>
        <color rgb="FFC00000"/>
        <rFont val="Calibri"/>
        <family val="2"/>
        <scheme val="minor"/>
      </rPr>
      <t xml:space="preserve"> Units</t>
    </r>
    <r>
      <rPr>
        <sz val="11"/>
        <color rgb="FFC00000"/>
        <rFont val="Calibri"/>
        <family val="2"/>
        <scheme val="minor"/>
      </rPr>
      <t xml:space="preserve">, enter 0, 1, or 2 corresponding to 'none', 'few', 'lots'.           *For the </t>
    </r>
    <r>
      <rPr>
        <b/>
        <sz val="11"/>
        <color rgb="FFC00000"/>
        <rFont val="Calibri"/>
        <family val="2"/>
        <scheme val="minor"/>
      </rPr>
      <t>LFP Bands</t>
    </r>
    <r>
      <rPr>
        <sz val="11"/>
        <color rgb="FFC00000"/>
        <rFont val="Calibri"/>
        <family val="2"/>
        <scheme val="minor"/>
      </rPr>
      <t xml:space="preserve">, enter the approximate frequency.  </t>
    </r>
    <r>
      <rPr>
        <i/>
        <sz val="11"/>
        <color rgb="FFC00000"/>
        <rFont val="Calibri"/>
        <family val="2"/>
        <scheme val="minor"/>
      </rPr>
      <t>An entry of 0 indicates flat LFP</t>
    </r>
  </si>
  <si>
    <t>Date</t>
  </si>
  <si>
    <t>Initials</t>
  </si>
  <si>
    <t>Turns</t>
  </si>
  <si>
    <t>Millimeters</t>
  </si>
  <si>
    <t>Impedance</t>
  </si>
  <si>
    <t>Units</t>
  </si>
  <si>
    <t>LFP Band 1</t>
  </si>
  <si>
    <t>LFP Band 2</t>
  </si>
  <si>
    <t>Notes</t>
  </si>
  <si>
    <t>Surgery</t>
  </si>
  <si>
    <t>Moved Electrodes</t>
  </si>
  <si>
    <t>Dist to dorsal HPC</t>
  </si>
  <si>
    <t>Dist to dorsal EC</t>
  </si>
  <si>
    <t>Total to dorsal HPC</t>
  </si>
  <si>
    <t>Total to dorsal EC</t>
  </si>
  <si>
    <t>Electrode Number</t>
  </si>
  <si>
    <t>Distance</t>
  </si>
  <si>
    <t>Max</t>
  </si>
  <si>
    <t>Min</t>
  </si>
  <si>
    <t>Last Turned</t>
  </si>
  <si>
    <t>NaN</t>
  </si>
  <si>
    <t>Template Turning Record Summary</t>
  </si>
  <si>
    <t xml:space="preserve"> </t>
  </si>
  <si>
    <t xml:space="preserve">Team </t>
  </si>
  <si>
    <t>AD</t>
  </si>
  <si>
    <t>found cells</t>
  </si>
  <si>
    <t>never found cells!</t>
  </si>
  <si>
    <t>cells</t>
  </si>
  <si>
    <t>got spikes!</t>
  </si>
  <si>
    <t>found cells!</t>
  </si>
  <si>
    <t>hash?</t>
  </si>
  <si>
    <t>spikes!</t>
  </si>
  <si>
    <t>spikes</t>
  </si>
  <si>
    <t>sedated.  Cell, 60 drop while turning</t>
  </si>
  <si>
    <t>yes</t>
  </si>
  <si>
    <t>sedated.  Cell</t>
  </si>
  <si>
    <t>sedated.  Impedance began at 2 and fell to 1.2 atthis position.  Cell</t>
  </si>
  <si>
    <t>sedated, cell</t>
  </si>
  <si>
    <t>sedated.  Cells</t>
  </si>
  <si>
    <t>sedated.  Cell very sparse</t>
  </si>
  <si>
    <t>sedated.  Spikes!</t>
  </si>
  <si>
    <t>sedated.  Cell!</t>
  </si>
  <si>
    <t>no</t>
  </si>
  <si>
    <t>sedated.  Super quiet.</t>
  </si>
  <si>
    <t>sedated.  Little hash, in.</t>
  </si>
  <si>
    <t>sedated.  Impedance suggests through, but quiet.</t>
  </si>
  <si>
    <t>sedated.  Killed a cell!</t>
  </si>
  <si>
    <t>sedated.  Cell!  Quickly lost, followed by hash.  Then cell again.</t>
  </si>
  <si>
    <t xml:space="preserve">sedated. quiet but impedance dropped.  Leaving. </t>
  </si>
  <si>
    <t>sedated.  Hashy + cell death.</t>
  </si>
  <si>
    <t>sedated.  Very hashy, quiet cell in there.</t>
  </si>
  <si>
    <t>sedated.  Killed cell, hash.</t>
  </si>
  <si>
    <t>sedated.  Impedance dropped so guessing it's through, but quiet.</t>
  </si>
  <si>
    <t>sedated. Cell, disappeared quickly</t>
  </si>
  <si>
    <t>sedated. Cell!</t>
  </si>
  <si>
    <t>sedated.  Cells!</t>
  </si>
  <si>
    <t>SAS</t>
  </si>
  <si>
    <t>rovered 100 turns down and 115 back up. Electrode may have died at the 98th turn of retraction.</t>
  </si>
  <si>
    <t>rover day.  Lowered 40 turns, retracted 60.</t>
  </si>
  <si>
    <t>Blind turning</t>
  </si>
  <si>
    <t xml:space="preserve">Listened. Quiet through turning </t>
  </si>
  <si>
    <t xml:space="preserve">Electrode lost contact around 25 turns but was able to bring it back and end in a cell area with heavy hash. </t>
  </si>
  <si>
    <t xml:space="preserve">Continuous hash through turning. </t>
  </si>
  <si>
    <t>Heard cells through turning.</t>
  </si>
  <si>
    <t xml:space="preserve">Heard cells from at turn 5, stopped at turn 7. </t>
  </si>
  <si>
    <t xml:space="preserve">Got hella stiff on the last turn </t>
  </si>
  <si>
    <t>No cells at 48 turns</t>
  </si>
  <si>
    <t xml:space="preserve">Blind turning </t>
  </si>
  <si>
    <t xml:space="preserve">A lot of 60 hz, stopped at 42 turns </t>
  </si>
  <si>
    <t xml:space="preserve">Cells through 23 turns. </t>
  </si>
  <si>
    <t xml:space="preserve">blind turning </t>
  </si>
  <si>
    <t xml:space="preserve">A bit hashy at the start of turning but quiet through 72 turns </t>
  </si>
  <si>
    <t xml:space="preserve">Some hash at start, no change through 64 turns </t>
  </si>
  <si>
    <t xml:space="preserve">Hashy at start, a few dying cells until 5th turn. Multiple units and continued cell activity until 12 turns. </t>
  </si>
  <si>
    <t>blind turning</t>
  </si>
  <si>
    <t xml:space="preserve">Accidentally drove electrode down 12 turns, retracted 6. Net 6 turns. </t>
  </si>
  <si>
    <t xml:space="preserve">Sounded/felt rattley for all of turning </t>
  </si>
  <si>
    <t>offset</t>
  </si>
  <si>
    <t>SA</t>
  </si>
  <si>
    <t xml:space="preserve">stabilant </t>
  </si>
  <si>
    <t xml:space="preserve">A bit stiff at start </t>
  </si>
  <si>
    <t xml:space="preserve">Difficult to seat </t>
  </si>
  <si>
    <t xml:space="preserve">Stiff at start </t>
  </si>
  <si>
    <t xml:space="preserve">impedence check--electrode in brain </t>
  </si>
  <si>
    <t xml:space="preserve">Stabilant </t>
  </si>
  <si>
    <t xml:space="preserve">difficult to seat screwdriver </t>
  </si>
  <si>
    <t>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</si>
</sst>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3" fillId="0" borderId="0" xfId="0" applyFont="1" applyBorder="1" applyAlignment="1">
      <alignment horizontal="left"/>
    </xf>
    <xf numFmtId="0" fontId="3" fillId="0" borderId="0" xfId="0" applyFont="1" applyBorder="1"/>
    <xf numFmtId="0" fontId="0" fillId="0" borderId="0" xfId="0" applyBorder="1"/>
    <xf numFmtId="0" fontId="4" fillId="0" borderId="0" xfId="0" applyFont="1" applyBorder="1" applyAlignment="1">
      <alignment wrapText="1"/>
    </xf>
    <xf numFmtId="14" fontId="0" fillId="0" borderId="0" xfId="0" applyNumberFormat="1"/>
    <xf numFmtId="0" fontId="0" fillId="0" borderId="0" xfId="0" applyFill="1" applyBorder="1"/>
    <xf numFmtId="0" fontId="8" fillId="0" borderId="0" xfId="0" applyFont="1"/>
    <xf numFmtId="0" fontId="8" fillId="0" borderId="0" xfId="0" applyFont="1" applyBorder="1"/>
    <xf numFmtId="0" fontId="0" fillId="0" borderId="0" xfId="0" applyFont="1"/>
    <xf numFmtId="0" fontId="8" fillId="0" borderId="6" xfId="0" applyFon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8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right"/>
    </xf>
    <xf numFmtId="0" fontId="8" fillId="0" borderId="8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right"/>
    </xf>
    <xf numFmtId="0" fontId="2" fillId="0" borderId="0" xfId="0" applyFont="1"/>
    <xf numFmtId="0" fontId="1" fillId="0" borderId="0" xfId="0" applyFont="1"/>
    <xf numFmtId="14" fontId="8" fillId="0" borderId="5" xfId="0" applyNumberFormat="1" applyFont="1" applyFill="1" applyBorder="1" applyAlignment="1">
      <alignment horizontal="center"/>
    </xf>
    <xf numFmtId="14" fontId="0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9" fillId="0" borderId="7" xfId="0" applyFont="1" applyFill="1" applyBorder="1" applyAlignment="1">
      <alignment horizontal="right"/>
    </xf>
    <xf numFmtId="0" fontId="9" fillId="0" borderId="0" xfId="0" applyFont="1" applyFill="1" applyBorder="1"/>
    <xf numFmtId="0" fontId="8" fillId="0" borderId="9" xfId="0" applyFon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2" fontId="0" fillId="0" borderId="10" xfId="0" applyNumberFormat="1" applyFont="1" applyBorder="1" applyAlignment="1">
      <alignment horizontal="center"/>
    </xf>
    <xf numFmtId="2" fontId="0" fillId="0" borderId="12" xfId="0" applyNumberFormat="1" applyFont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2" fontId="0" fillId="0" borderId="2" xfId="0" applyNumberFormat="1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2" fontId="0" fillId="0" borderId="13" xfId="0" applyNumberForma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1" xfId="0" applyFill="1" applyBorder="1" applyAlignment="1">
      <alignment horizontal="right"/>
    </xf>
    <xf numFmtId="0" fontId="0" fillId="0" borderId="17" xfId="0" applyFill="1" applyBorder="1"/>
    <xf numFmtId="0" fontId="0" fillId="0" borderId="18" xfId="0" applyFont="1" applyBorder="1"/>
    <xf numFmtId="0" fontId="0" fillId="0" borderId="18" xfId="0" applyBorder="1"/>
    <xf numFmtId="2" fontId="0" fillId="0" borderId="19" xfId="0" applyNumberFormat="1" applyFill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8" fillId="0" borderId="5" xfId="0" applyFont="1" applyFill="1" applyBorder="1" applyAlignment="1">
      <alignment horizontal="center"/>
    </xf>
    <xf numFmtId="0" fontId="8" fillId="0" borderId="8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</cellXfs>
  <cellStyles count="1">
    <cellStyle name="Normal" xfId="0" builtinId="0"/>
  </cellStyles>
  <dxfs count="26">
    <dxf>
      <fill>
        <patternFill patternType="solid">
          <fgColor theme="0"/>
          <bgColor theme="8" tint="0.59996337778862885"/>
        </patternFill>
      </fill>
    </dxf>
    <dxf>
      <fill>
        <patternFill>
          <bgColor rgb="FFF48F84"/>
        </patternFill>
      </fill>
    </dxf>
    <dxf>
      <fill>
        <patternFill patternType="solid">
          <fgColor theme="0"/>
          <bgColor theme="8" tint="0.59996337778862885"/>
        </patternFill>
      </fill>
    </dxf>
    <dxf>
      <fill>
        <patternFill>
          <bgColor rgb="FFF48F84"/>
        </patternFill>
      </fill>
    </dxf>
    <dxf>
      <fill>
        <patternFill patternType="solid">
          <fgColor theme="0"/>
          <bgColor theme="8" tint="0.59996337778862885"/>
        </patternFill>
      </fill>
    </dxf>
    <dxf>
      <fill>
        <patternFill>
          <bgColor rgb="FFF48F84"/>
        </patternFill>
      </fill>
    </dxf>
    <dxf>
      <fill>
        <patternFill patternType="solid">
          <fgColor theme="0"/>
          <bgColor theme="8" tint="0.59996337778862885"/>
        </patternFill>
      </fill>
    </dxf>
    <dxf>
      <fill>
        <patternFill>
          <bgColor rgb="FFF48F84"/>
        </patternFill>
      </fill>
    </dxf>
    <dxf>
      <fill>
        <patternFill patternType="solid">
          <fgColor theme="0"/>
          <bgColor theme="8" tint="0.59996337778862885"/>
        </patternFill>
      </fill>
    </dxf>
    <dxf>
      <fill>
        <patternFill>
          <bgColor rgb="FFF48F84"/>
        </patternFill>
      </fill>
    </dxf>
    <dxf>
      <fill>
        <patternFill patternType="solid">
          <fgColor theme="0"/>
          <bgColor theme="8" tint="0.59996337778862885"/>
        </patternFill>
      </fill>
    </dxf>
    <dxf>
      <fill>
        <patternFill>
          <bgColor rgb="FFF48F84"/>
        </patternFill>
      </fill>
    </dxf>
    <dxf>
      <fill>
        <patternFill patternType="solid">
          <fgColor theme="0"/>
          <bgColor theme="8" tint="0.59996337778862885"/>
        </patternFill>
      </fill>
    </dxf>
    <dxf>
      <fill>
        <patternFill>
          <bgColor rgb="FFF48F84"/>
        </patternFill>
      </fill>
    </dxf>
    <dxf>
      <fill>
        <patternFill patternType="solid">
          <fgColor theme="0"/>
          <bgColor theme="8" tint="0.59996337778862885"/>
        </patternFill>
      </fill>
    </dxf>
    <dxf>
      <fill>
        <patternFill>
          <bgColor rgb="FFF48F84"/>
        </patternFill>
      </fill>
    </dxf>
    <dxf>
      <fill>
        <patternFill patternType="solid">
          <fgColor theme="0"/>
          <bgColor theme="8" tint="0.59996337778862885"/>
        </patternFill>
      </fill>
    </dxf>
    <dxf>
      <fill>
        <patternFill>
          <bgColor rgb="FFF48F84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116"/>
  <sheetViews>
    <sheetView topLeftCell="A49" zoomScaleNormal="100" workbookViewId="0">
      <selection activeCell="B20" sqref="B20"/>
    </sheetView>
  </sheetViews>
  <sheetFormatPr defaultRowHeight="15" x14ac:dyDescent="0.25"/>
  <cols>
    <col min="1" max="1" width="20.7109375" style="20" customWidth="1"/>
    <col min="2" max="2" width="10.7109375" style="18" customWidth="1"/>
    <col min="3" max="3" width="11.28515625" style="8" customWidth="1"/>
    <col min="4" max="4" width="11.7109375" style="14" customWidth="1"/>
    <col min="5" max="7" width="11.7109375" style="1" customWidth="1"/>
    <col min="8" max="8" width="11.7109375" style="14" customWidth="1"/>
    <col min="9" max="11" width="11.7109375" style="1" customWidth="1"/>
    <col min="12" max="12" width="17.140625" style="29" customWidth="1"/>
    <col min="13" max="16384" width="9.140625" style="1"/>
  </cols>
  <sheetData>
    <row r="1" spans="1:15" ht="36" x14ac:dyDescent="0.55000000000000004">
      <c r="A1" s="23" t="s">
        <v>23</v>
      </c>
    </row>
    <row r="3" spans="1:15" s="12" customFormat="1" ht="19.5" thickBot="1" x14ac:dyDescent="0.35">
      <c r="A3" s="19" t="s">
        <v>12</v>
      </c>
      <c r="B3" s="19">
        <f ca="1">_xlfn.SHEETS()-2</f>
        <v>95</v>
      </c>
      <c r="C3" s="13"/>
      <c r="L3" s="30"/>
    </row>
    <row r="4" spans="1:15" ht="19.5" thickBot="1" x14ac:dyDescent="0.35">
      <c r="B4" s="20"/>
      <c r="D4" s="49" t="s">
        <v>13</v>
      </c>
      <c r="E4" s="50"/>
      <c r="F4" s="49" t="s">
        <v>14</v>
      </c>
      <c r="G4" s="51"/>
      <c r="H4" s="52" t="s">
        <v>15</v>
      </c>
      <c r="I4" s="50"/>
      <c r="J4" s="49" t="s">
        <v>16</v>
      </c>
      <c r="K4" s="50"/>
    </row>
    <row r="5" spans="1:15" ht="19.5" thickBot="1" x14ac:dyDescent="0.35">
      <c r="A5" s="15" t="s">
        <v>17</v>
      </c>
      <c r="B5" s="15" t="s">
        <v>4</v>
      </c>
      <c r="C5" s="22" t="s">
        <v>18</v>
      </c>
      <c r="D5" s="15" t="s">
        <v>19</v>
      </c>
      <c r="E5" s="34" t="s">
        <v>20</v>
      </c>
      <c r="F5" s="15" t="s">
        <v>19</v>
      </c>
      <c r="G5" s="38" t="s">
        <v>20</v>
      </c>
      <c r="H5" s="40" t="s">
        <v>19</v>
      </c>
      <c r="I5" s="34" t="s">
        <v>20</v>
      </c>
      <c r="J5" s="15" t="s">
        <v>19</v>
      </c>
      <c r="K5" s="34" t="s">
        <v>20</v>
      </c>
      <c r="L5" s="28" t="s">
        <v>21</v>
      </c>
      <c r="N5" s="26"/>
      <c r="O5" s="26"/>
    </row>
    <row r="6" spans="1:15" x14ac:dyDescent="0.25">
      <c r="A6" s="16" t="str">
        <f>INDEX(Sheetnames,ROW(A6)-4)</f>
        <v>Trode (1)</v>
      </c>
      <c r="B6" s="32">
        <f ca="1">LOOKUP(2,1/(INDIRECT("'" &amp; A6 &amp; "'!C4"):INDIRECT("'" &amp; A6 &amp; "'!C300")&lt;&gt;""),INDIRECT("'" &amp; A6 &amp; "'!C4"):INDIRECT("'" &amp; A6 &amp; "'!C300"))</f>
        <v>0.25</v>
      </c>
      <c r="C6" s="33">
        <f ca="1">B6/8</f>
        <v>3.125E-2</v>
      </c>
      <c r="D6" s="35">
        <f t="shared" ref="D6:G69" ca="1" si="0">H6-$C6</f>
        <v>27.387291154344101</v>
      </c>
      <c r="E6" s="36">
        <f t="shared" ca="1" si="0"/>
        <v>25.887291154344101</v>
      </c>
      <c r="F6" s="35" t="s">
        <v>22</v>
      </c>
      <c r="G6" s="35" t="s">
        <v>22</v>
      </c>
      <c r="H6" s="41">
        <v>27.418541154344101</v>
      </c>
      <c r="I6" s="36">
        <v>25.918541154344101</v>
      </c>
      <c r="J6" s="35" t="s">
        <v>22</v>
      </c>
      <c r="K6" s="36" t="s">
        <v>22</v>
      </c>
      <c r="L6" s="31">
        <f ca="1">LOOKUP(2,1/(INDIRECT("'" &amp; A6&amp; "'!A4"):INDIRECT("'" &amp; A6 &amp; "'!A300")&lt;&gt;""),INDIRECT("'" &amp; A6 &amp; "'!A4"):INDIRECT("'" &amp; A6 &amp; "'!A300"))</f>
        <v>43520</v>
      </c>
    </row>
    <row r="7" spans="1:15" x14ac:dyDescent="0.25">
      <c r="A7" s="17" t="str">
        <f t="shared" ref="A7:A71" si="1">INDEX(Sheetnames,ROW(A7)-4)</f>
        <v>Trode (2)</v>
      </c>
      <c r="B7" s="25">
        <f ca="1">LOOKUP(2,1/(INDIRECT("'" &amp; A7 &amp; "'!C4"):INDIRECT("'" &amp; A7 &amp; "'!C300")&lt;&gt;""),INDIRECT("'" &amp; A7 &amp; "'!C4"):INDIRECT("'" &amp; A7 &amp; "'!C300"))</f>
        <v>0.25</v>
      </c>
      <c r="C7" s="11">
        <f t="shared" ref="C7:C70" ca="1" si="2">B7/8</f>
        <v>3.125E-2</v>
      </c>
      <c r="D7" s="35">
        <f t="shared" ca="1" si="0"/>
        <v>26.4930813119493</v>
      </c>
      <c r="E7" s="36">
        <f t="shared" ca="1" si="0"/>
        <v>24.9930813119493</v>
      </c>
      <c r="F7" s="35" t="s">
        <v>22</v>
      </c>
      <c r="G7" s="35" t="s">
        <v>22</v>
      </c>
      <c r="H7" s="41">
        <v>26.5243313119493</v>
      </c>
      <c r="I7" s="36">
        <v>25.0243313119493</v>
      </c>
      <c r="J7" s="35" t="s">
        <v>22</v>
      </c>
      <c r="K7" s="36" t="s">
        <v>22</v>
      </c>
      <c r="L7" s="31">
        <f ca="1">LOOKUP(2,1/(INDIRECT("'" &amp; A7&amp; "'!A4"):INDIRECT("'" &amp; A7 &amp; "'!A300")&lt;&gt;""),INDIRECT("'" &amp; A7 &amp; "'!A4"):INDIRECT("'" &amp; A7 &amp; "'!A300"))</f>
        <v>43572</v>
      </c>
    </row>
    <row r="8" spans="1:15" x14ac:dyDescent="0.25">
      <c r="A8" s="17" t="str">
        <f t="shared" si="1"/>
        <v>Trode (3)</v>
      </c>
      <c r="B8" s="25">
        <f ca="1">LOOKUP(2,1/(INDIRECT("'" &amp; A8 &amp; "'!C4"):INDIRECT("'" &amp; A8 &amp; "'!C300")&lt;&gt;""),INDIRECT("'" &amp; A8 &amp; "'!C4"):INDIRECT("'" &amp; A8 &amp; "'!C300"))</f>
        <v>0.25</v>
      </c>
      <c r="C8" s="11">
        <f t="shared" ca="1" si="2"/>
        <v>3.125E-2</v>
      </c>
      <c r="D8" s="35">
        <f t="shared" ca="1" si="0"/>
        <v>26.879968505429201</v>
      </c>
      <c r="E8" s="36">
        <f t="shared" ca="1" si="0"/>
        <v>25.379968505429201</v>
      </c>
      <c r="F8" s="35">
        <f ca="1">J8-$C8</f>
        <v>33.393954946793997</v>
      </c>
      <c r="G8" s="35">
        <f ca="1">K8-$C8</f>
        <v>31.893954946793901</v>
      </c>
      <c r="H8" s="41">
        <v>26.911218505429201</v>
      </c>
      <c r="I8" s="36">
        <v>25.411218505429201</v>
      </c>
      <c r="J8" s="35">
        <v>33.425204946793997</v>
      </c>
      <c r="K8" s="36">
        <v>31.925204946793901</v>
      </c>
      <c r="L8" s="31">
        <f ca="1">LOOKUP(2,1/(INDIRECT("'" &amp; A8&amp; "'!A4"):INDIRECT("'" &amp; A8 &amp; "'!A300")&lt;&gt;""),INDIRECT("'" &amp; A8 &amp; "'!A4"):INDIRECT("'" &amp; A8 &amp; "'!A300"))</f>
        <v>43572</v>
      </c>
    </row>
    <row r="9" spans="1:15" x14ac:dyDescent="0.25">
      <c r="A9" s="17" t="str">
        <f t="shared" si="1"/>
        <v>Trode (4)</v>
      </c>
      <c r="B9" s="25">
        <f ca="1">LOOKUP(2,1/(INDIRECT("'" &amp; A9 &amp; "'!C4"):INDIRECT("'" &amp; A9 &amp; "'!C300")&lt;&gt;""),INDIRECT("'" &amp; A9 &amp; "'!C4"):INDIRECT("'" &amp; A9 &amp; "'!C300"))</f>
        <v>0.25</v>
      </c>
      <c r="C9" s="11">
        <f t="shared" ca="1" si="2"/>
        <v>3.125E-2</v>
      </c>
      <c r="D9" s="35">
        <f t="shared" ca="1" si="0"/>
        <v>27.049816948622698</v>
      </c>
      <c r="E9" s="36">
        <f t="shared" ca="1" si="0"/>
        <v>25.549816948622698</v>
      </c>
      <c r="F9" s="35">
        <f ca="1">J9-$C9</f>
        <v>33.301434447659901</v>
      </c>
      <c r="G9" s="35">
        <f ca="1">K9-$C9</f>
        <v>31.801434447659901</v>
      </c>
      <c r="H9" s="41">
        <v>27.081066948622698</v>
      </c>
      <c r="I9" s="36">
        <v>25.581066948622698</v>
      </c>
      <c r="J9" s="35">
        <v>33.332684447659901</v>
      </c>
      <c r="K9" s="36">
        <v>31.832684447659901</v>
      </c>
      <c r="L9" s="31">
        <f ca="1">LOOKUP(2,1/(INDIRECT("'" &amp; A9&amp; "'!A4"):INDIRECT("'" &amp; A9 &amp; "'!A300")&lt;&gt;""),INDIRECT("'" &amp; A9 &amp; "'!A4"):INDIRECT("'" &amp; A9 &amp; "'!A300"))</f>
        <v>43572</v>
      </c>
    </row>
    <row r="10" spans="1:15" x14ac:dyDescent="0.25">
      <c r="A10" s="17" t="str">
        <f t="shared" si="1"/>
        <v>Trode (5)</v>
      </c>
      <c r="B10" s="25">
        <f ca="1">LOOKUP(2,1/(INDIRECT("'" &amp; A10 &amp; "'!C4"):INDIRECT("'" &amp; A10 &amp; "'!C300")&lt;&gt;""),INDIRECT("'" &amp; A10 &amp; "'!C4"):INDIRECT("'" &amp; A10 &amp; "'!C300"))</f>
        <v>0.25</v>
      </c>
      <c r="C10" s="11">
        <f t="shared" ca="1" si="2"/>
        <v>3.125E-2</v>
      </c>
      <c r="D10" s="35">
        <f t="shared" ca="1" si="0"/>
        <v>26.9578062187413</v>
      </c>
      <c r="E10" s="36">
        <f t="shared" ca="1" si="0"/>
        <v>25.4578062187413</v>
      </c>
      <c r="F10" s="35" t="s">
        <v>22</v>
      </c>
      <c r="G10" s="35" t="s">
        <v>22</v>
      </c>
      <c r="H10" s="41">
        <v>26.9890562187413</v>
      </c>
      <c r="I10" s="36">
        <v>25.4890562187413</v>
      </c>
      <c r="J10" s="35" t="s">
        <v>22</v>
      </c>
      <c r="K10" s="36" t="s">
        <v>22</v>
      </c>
      <c r="L10" s="31">
        <f ca="1">LOOKUP(2,1/(INDIRECT("'" &amp; A10&amp; "'!A4"):INDIRECT("'" &amp; A10 &amp; "'!A300")&lt;&gt;""),INDIRECT("'" &amp; A10 &amp; "'!A4"):INDIRECT("'" &amp; A10 &amp; "'!A300"))</f>
        <v>43572</v>
      </c>
    </row>
    <row r="11" spans="1:15" x14ac:dyDescent="0.25">
      <c r="A11" s="17" t="str">
        <f t="shared" si="1"/>
        <v>Trode (6)</v>
      </c>
      <c r="B11" s="25">
        <f ca="1">LOOKUP(2,1/(INDIRECT("'" &amp; A11 &amp; "'!C4"):INDIRECT("'" &amp; A11 &amp; "'!C300")&lt;&gt;""),INDIRECT("'" &amp; A11 &amp; "'!C4"):INDIRECT("'" &amp; A11 &amp; "'!C300"))</f>
        <v>0.25</v>
      </c>
      <c r="C11" s="11">
        <f t="shared" ca="1" si="2"/>
        <v>3.125E-2</v>
      </c>
      <c r="D11" s="35">
        <f t="shared" ca="1" si="0"/>
        <v>26.971432534953301</v>
      </c>
      <c r="E11" s="36">
        <f t="shared" ca="1" si="0"/>
        <v>25.471432534953301</v>
      </c>
      <c r="F11" s="35" t="s">
        <v>22</v>
      </c>
      <c r="G11" s="35" t="s">
        <v>22</v>
      </c>
      <c r="H11" s="41">
        <v>27.002682534953301</v>
      </c>
      <c r="I11" s="36">
        <v>25.502682534953301</v>
      </c>
      <c r="J11" s="35" t="s">
        <v>22</v>
      </c>
      <c r="K11" s="36" t="s">
        <v>22</v>
      </c>
      <c r="L11" s="31">
        <f ca="1">LOOKUP(2,1/(INDIRECT("'" &amp; A11&amp; "'!A4"):INDIRECT("'" &amp; A11 &amp; "'!A300")&lt;&gt;""),INDIRECT("'" &amp; A11 &amp; "'!A4"):INDIRECT("'" &amp; A11 &amp; "'!A300"))</f>
        <v>43572</v>
      </c>
    </row>
    <row r="12" spans="1:15" x14ac:dyDescent="0.25">
      <c r="A12" s="17" t="str">
        <f t="shared" si="1"/>
        <v>Trode (7)</v>
      </c>
      <c r="B12" s="25">
        <f ca="1">LOOKUP(2,1/(INDIRECT("'" &amp; A12 &amp; "'!C4"):INDIRECT("'" &amp; A12 &amp; "'!C300")&lt;&gt;""),INDIRECT("'" &amp; A12 &amp; "'!C4"):INDIRECT("'" &amp; A12 &amp; "'!C300"))</f>
        <v>0.25</v>
      </c>
      <c r="C12" s="11">
        <f t="shared" ca="1" si="2"/>
        <v>3.125E-2</v>
      </c>
      <c r="D12" s="35" t="s">
        <v>22</v>
      </c>
      <c r="E12" s="36" t="s">
        <v>22</v>
      </c>
      <c r="F12" s="35">
        <f t="shared" ref="F12:G16" ca="1" si="3">J12-$C12</f>
        <v>34.1140521264361</v>
      </c>
      <c r="G12" s="35">
        <f t="shared" ca="1" si="3"/>
        <v>32.6140521264361</v>
      </c>
      <c r="H12" s="41" t="s">
        <v>22</v>
      </c>
      <c r="I12" s="36" t="s">
        <v>22</v>
      </c>
      <c r="J12" s="35">
        <v>34.1453021264361</v>
      </c>
      <c r="K12" s="36">
        <v>32.6453021264361</v>
      </c>
      <c r="L12" s="31">
        <f ca="1">LOOKUP(2,1/(INDIRECT("'" &amp; A12&amp; "'!A4"):INDIRECT("'" &amp; A12 &amp; "'!A300")&lt;&gt;""),INDIRECT("'" &amp; A12 &amp; "'!A4"):INDIRECT("'" &amp; A12 &amp; "'!A300"))</f>
        <v>43570</v>
      </c>
    </row>
    <row r="13" spans="1:15" x14ac:dyDescent="0.25">
      <c r="A13" s="17" t="str">
        <f t="shared" si="1"/>
        <v>Trode (8)</v>
      </c>
      <c r="B13" s="25">
        <f ca="1">LOOKUP(2,1/(INDIRECT("'" &amp; A13 &amp; "'!C4"):INDIRECT("'" &amp; A13 &amp; "'!C300")&lt;&gt;""),INDIRECT("'" &amp; A13 &amp; "'!C4"):INDIRECT("'" &amp; A13 &amp; "'!C300"))</f>
        <v>0.5</v>
      </c>
      <c r="C13" s="11">
        <f t="shared" ca="1" si="2"/>
        <v>6.25E-2</v>
      </c>
      <c r="D13" s="35" t="s">
        <v>22</v>
      </c>
      <c r="E13" s="36" t="s">
        <v>22</v>
      </c>
      <c r="F13" s="35">
        <f t="shared" ca="1" si="3"/>
        <v>33.710361971484403</v>
      </c>
      <c r="G13" s="35">
        <f t="shared" ca="1" si="3"/>
        <v>32.210361971484403</v>
      </c>
      <c r="H13" s="41" t="s">
        <v>22</v>
      </c>
      <c r="I13" s="36" t="s">
        <v>22</v>
      </c>
      <c r="J13" s="35">
        <v>33.772861971484403</v>
      </c>
      <c r="K13" s="36">
        <v>32.272861971484403</v>
      </c>
      <c r="L13" s="31">
        <f ca="1">LOOKUP(2,1/(INDIRECT("'" &amp; A13&amp; "'!A4"):INDIRECT("'" &amp; A13 &amp; "'!A300")&lt;&gt;""),INDIRECT("'" &amp; A13 &amp; "'!A4"):INDIRECT("'" &amp; A13 &amp; "'!A300"))</f>
        <v>43570</v>
      </c>
    </row>
    <row r="14" spans="1:15" x14ac:dyDescent="0.25">
      <c r="A14" s="17" t="str">
        <f t="shared" si="1"/>
        <v>Trode (9)</v>
      </c>
      <c r="B14" s="25">
        <f ca="1">LOOKUP(2,1/(INDIRECT("'" &amp; A14 &amp; "'!C4"):INDIRECT("'" &amp; A14 &amp; "'!C300")&lt;&gt;""),INDIRECT("'" &amp; A14 &amp; "'!C4"):INDIRECT("'" &amp; A14 &amp; "'!C300"))</f>
        <v>0.5</v>
      </c>
      <c r="C14" s="11">
        <f t="shared" ca="1" si="2"/>
        <v>6.25E-2</v>
      </c>
      <c r="D14" s="35">
        <f t="shared" ca="1" si="0"/>
        <v>30.129772365294802</v>
      </c>
      <c r="E14" s="36">
        <f t="shared" ca="1" si="0"/>
        <v>28.629772365294802</v>
      </c>
      <c r="F14" s="35">
        <f t="shared" ca="1" si="3"/>
        <v>33.387744392166603</v>
      </c>
      <c r="G14" s="35">
        <f t="shared" ca="1" si="3"/>
        <v>31.887744392166599</v>
      </c>
      <c r="H14" s="41">
        <v>30.192272365294802</v>
      </c>
      <c r="I14" s="36">
        <v>28.692272365294802</v>
      </c>
      <c r="J14" s="35">
        <v>33.450244392166603</v>
      </c>
      <c r="K14" s="36">
        <v>31.950244392166599</v>
      </c>
      <c r="L14" s="31">
        <f ca="1">LOOKUP(2,1/(INDIRECT("'" &amp; A14&amp; "'!A4"):INDIRECT("'" &amp; A14 &amp; "'!A300")&lt;&gt;""),INDIRECT("'" &amp; A14 &amp; "'!A4"):INDIRECT("'" &amp; A14 &amp; "'!A300"))</f>
        <v>43572</v>
      </c>
    </row>
    <row r="15" spans="1:15" x14ac:dyDescent="0.25">
      <c r="A15" s="17" t="str">
        <f t="shared" si="1"/>
        <v>Trode (10)</v>
      </c>
      <c r="B15" s="25">
        <f ca="1">LOOKUP(2,1/(INDIRECT("'" &amp; A15 &amp; "'!C4"):INDIRECT("'" &amp; A15 &amp; "'!C300")&lt;&gt;""),INDIRECT("'" &amp; A15 &amp; "'!C4"):INDIRECT("'" &amp; A15 &amp; "'!C300"))</f>
        <v>0.25</v>
      </c>
      <c r="C15" s="11">
        <f t="shared" ca="1" si="2"/>
        <v>3.125E-2</v>
      </c>
      <c r="D15" s="35">
        <f t="shared" ca="1" si="0"/>
        <v>28.656064783805</v>
      </c>
      <c r="E15" s="36">
        <f t="shared" ca="1" si="0"/>
        <v>27.156064783805</v>
      </c>
      <c r="F15" s="35">
        <f t="shared" ca="1" si="3"/>
        <v>33.997813393515997</v>
      </c>
      <c r="G15" s="35">
        <f t="shared" ca="1" si="3"/>
        <v>32.497813393515997</v>
      </c>
      <c r="H15" s="41">
        <v>28.687314783805</v>
      </c>
      <c r="I15" s="36">
        <v>27.187314783805</v>
      </c>
      <c r="J15" s="35">
        <v>34.029063393515997</v>
      </c>
      <c r="K15" s="36">
        <v>32.529063393515997</v>
      </c>
      <c r="L15" s="31">
        <f ca="1">LOOKUP(2,1/(INDIRECT("'" &amp; A15&amp; "'!A4"):INDIRECT("'" &amp; A15 &amp; "'!A300")&lt;&gt;""),INDIRECT("'" &amp; A15 &amp; "'!A4"):INDIRECT("'" &amp; A15 &amp; "'!A300"))</f>
        <v>43572</v>
      </c>
    </row>
    <row r="16" spans="1:15" x14ac:dyDescent="0.25">
      <c r="A16" s="17" t="str">
        <f t="shared" si="1"/>
        <v>Trode (11)</v>
      </c>
      <c r="B16" s="25">
        <f ca="1">LOOKUP(2,1/(INDIRECT("'" &amp; A16 &amp; "'!C4"):INDIRECT("'" &amp; A16 &amp; "'!C300")&lt;&gt;""),INDIRECT("'" &amp; A16 &amp; "'!C4"):INDIRECT("'" &amp; A16 &amp; "'!C300"))</f>
        <v>0.25</v>
      </c>
      <c r="C16" s="11">
        <f t="shared" ca="1" si="2"/>
        <v>3.125E-2</v>
      </c>
      <c r="D16" s="35">
        <f t="shared" ca="1" si="0"/>
        <v>28.391313497074801</v>
      </c>
      <c r="E16" s="36">
        <f t="shared" ca="1" si="0"/>
        <v>26.891313497074801</v>
      </c>
      <c r="F16" s="35">
        <f t="shared" ca="1" si="3"/>
        <v>34.342012948352902</v>
      </c>
      <c r="G16" s="35">
        <f t="shared" ca="1" si="3"/>
        <v>32.842012948352902</v>
      </c>
      <c r="H16" s="41">
        <v>28.422563497074801</v>
      </c>
      <c r="I16" s="36">
        <v>26.922563497074801</v>
      </c>
      <c r="J16" s="35">
        <v>34.373262948352902</v>
      </c>
      <c r="K16" s="36">
        <v>32.873262948352902</v>
      </c>
      <c r="L16" s="31">
        <f ca="1">LOOKUP(2,1/(INDIRECT("'" &amp; A16&amp; "'!A4"):INDIRECT("'" &amp; A16 &amp; "'!A300")&lt;&gt;""),INDIRECT("'" &amp; A16 &amp; "'!A4"):INDIRECT("'" &amp; A16 &amp; "'!A300"))</f>
        <v>43572</v>
      </c>
    </row>
    <row r="17" spans="1:15" x14ac:dyDescent="0.25">
      <c r="A17" s="17" t="str">
        <f t="shared" si="1"/>
        <v>Trode (12)</v>
      </c>
      <c r="B17" s="25">
        <f ca="1">LOOKUP(2,1/(INDIRECT("'" &amp; A17 &amp; "'!C4"):INDIRECT("'" &amp; A17 &amp; "'!C300")&lt;&gt;""),INDIRECT("'" &amp; A17 &amp; "'!C4"):INDIRECT("'" &amp; A17 &amp; "'!C300"))</f>
        <v>0.25</v>
      </c>
      <c r="C17" s="11">
        <f t="shared" ca="1" si="2"/>
        <v>3.125E-2</v>
      </c>
      <c r="D17" s="35">
        <f t="shared" ca="1" si="0"/>
        <v>29.083030450310801</v>
      </c>
      <c r="E17" s="36">
        <f t="shared" ca="1" si="0"/>
        <v>27.583030450310801</v>
      </c>
      <c r="F17" s="35" t="s">
        <v>22</v>
      </c>
      <c r="G17" s="35" t="s">
        <v>22</v>
      </c>
      <c r="H17" s="41">
        <v>29.114280450310801</v>
      </c>
      <c r="I17" s="36">
        <v>27.614280450310801</v>
      </c>
      <c r="J17" s="35" t="s">
        <v>22</v>
      </c>
      <c r="K17" s="36" t="s">
        <v>22</v>
      </c>
      <c r="L17" s="31">
        <f ca="1">LOOKUP(2,1/(INDIRECT("'" &amp; A17&amp; "'!A4"):INDIRECT("'" &amp; A17 &amp; "'!A300")&lt;&gt;""),INDIRECT("'" &amp; A17 &amp; "'!A4"):INDIRECT("'" &amp; A17 &amp; "'!A300"))</f>
        <v>43572</v>
      </c>
    </row>
    <row r="18" spans="1:15" x14ac:dyDescent="0.25">
      <c r="A18" s="17" t="str">
        <f t="shared" si="1"/>
        <v>Trode (13)</v>
      </c>
      <c r="B18" s="25">
        <f ca="1">LOOKUP(2,1/(INDIRECT("'" &amp; A18 &amp; "'!C4"):INDIRECT("'" &amp; A18 &amp; "'!C300")&lt;&gt;""),INDIRECT("'" &amp; A18 &amp; "'!C4"):INDIRECT("'" &amp; A18 &amp; "'!C300"))</f>
        <v>0.25</v>
      </c>
      <c r="C18" s="11">
        <f t="shared" ca="1" si="2"/>
        <v>3.125E-2</v>
      </c>
      <c r="D18" s="35">
        <f t="shared" ca="1" si="0"/>
        <v>29.078357063841999</v>
      </c>
      <c r="E18" s="36">
        <f t="shared" ca="1" si="0"/>
        <v>27.578357063841999</v>
      </c>
      <c r="F18" s="35" t="s">
        <v>22</v>
      </c>
      <c r="G18" s="35" t="s">
        <v>22</v>
      </c>
      <c r="H18" s="41">
        <v>29.109607063841999</v>
      </c>
      <c r="I18" s="36">
        <v>27.609607063841999</v>
      </c>
      <c r="J18" s="35" t="s">
        <v>22</v>
      </c>
      <c r="K18" s="36" t="s">
        <v>22</v>
      </c>
      <c r="L18" s="31">
        <f ca="1">LOOKUP(2,1/(INDIRECT("'" &amp; A18&amp; "'!A4"):INDIRECT("'" &amp; A18 &amp; "'!A300")&lt;&gt;""),INDIRECT("'" &amp; A18 &amp; "'!A4"):INDIRECT("'" &amp; A18 &amp; "'!A300"))</f>
        <v>43566</v>
      </c>
    </row>
    <row r="19" spans="1:15" x14ac:dyDescent="0.25">
      <c r="A19" s="17" t="str">
        <f t="shared" si="1"/>
        <v>Trode (14)</v>
      </c>
      <c r="B19" s="25">
        <v>-15.2</v>
      </c>
      <c r="C19" s="11">
        <f t="shared" si="2"/>
        <v>-1.9</v>
      </c>
      <c r="D19" s="35" t="s">
        <v>22</v>
      </c>
      <c r="E19" s="36" t="s">
        <v>22</v>
      </c>
      <c r="F19" s="35" t="s">
        <v>22</v>
      </c>
      <c r="G19" s="35" t="s">
        <v>22</v>
      </c>
      <c r="H19" s="41" t="s">
        <v>22</v>
      </c>
      <c r="I19" s="36" t="s">
        <v>22</v>
      </c>
      <c r="J19" s="35" t="s">
        <v>22</v>
      </c>
      <c r="K19" s="36" t="s">
        <v>22</v>
      </c>
      <c r="L19" s="31">
        <f ca="1">LOOKUP(2,1/(INDIRECT("'" &amp; A19&amp; "'!A4"):INDIRECT("'" &amp; A19 &amp; "'!A300")&lt;&gt;""),INDIRECT("'" &amp; A19 &amp; "'!A4"):INDIRECT("'" &amp; A19 &amp; "'!A300"))</f>
        <v>43572</v>
      </c>
    </row>
    <row r="20" spans="1:15" x14ac:dyDescent="0.25">
      <c r="A20" s="17" t="str">
        <f t="shared" si="1"/>
        <v>Trode (15)</v>
      </c>
      <c r="B20" s="25">
        <f ca="1">LOOKUP(2,1/(INDIRECT("'" &amp; A20 &amp; "'!C4"):INDIRECT("'" &amp; A20 &amp; "'!C300")&lt;&gt;""),INDIRECT("'" &amp; A20 &amp; "'!C4"):INDIRECT("'" &amp; A20 &amp; "'!C300"))</f>
        <v>0.5</v>
      </c>
      <c r="C20" s="11">
        <f t="shared" ca="1" si="2"/>
        <v>6.25E-2</v>
      </c>
      <c r="D20" s="35">
        <f t="shared" ca="1" si="0"/>
        <v>32.548249552474701</v>
      </c>
      <c r="E20" s="36">
        <f t="shared" ca="1" si="0"/>
        <v>31.048249552474701</v>
      </c>
      <c r="F20" s="35">
        <f t="shared" ca="1" si="0"/>
        <v>33.5571897635743</v>
      </c>
      <c r="G20" s="35">
        <f t="shared" ca="1" si="0"/>
        <v>32.0571897635743</v>
      </c>
      <c r="H20" s="41">
        <v>32.610749552474701</v>
      </c>
      <c r="I20" s="36">
        <v>31.110749552474701</v>
      </c>
      <c r="J20" s="35">
        <v>33.6196897635743</v>
      </c>
      <c r="K20" s="36">
        <v>32.1196897635743</v>
      </c>
      <c r="L20" s="31">
        <f ca="1">LOOKUP(2,1/(INDIRECT("'" &amp; A20&amp; "'!A4"):INDIRECT("'" &amp; A20 &amp; "'!A300")&lt;&gt;""),INDIRECT("'" &amp; A20 &amp; "'!A4"):INDIRECT("'" &amp; A20 &amp; "'!A300"))</f>
        <v>43566</v>
      </c>
    </row>
    <row r="21" spans="1:15" x14ac:dyDescent="0.25">
      <c r="A21" s="17" t="str">
        <f t="shared" si="1"/>
        <v>Trode (16)</v>
      </c>
      <c r="B21" s="25">
        <f ca="1">LOOKUP(2,1/(INDIRECT("'" &amp; A21 &amp; "'!C4"):INDIRECT("'" &amp; A21 &amp; "'!C300")&lt;&gt;""),INDIRECT("'" &amp; A21 &amp; "'!C4"):INDIRECT("'" &amp; A21 &amp; "'!C300"))</f>
        <v>0.25</v>
      </c>
      <c r="C21" s="11">
        <f t="shared" ca="1" si="2"/>
        <v>3.125E-2</v>
      </c>
      <c r="D21" s="35">
        <f t="shared" ca="1" si="0"/>
        <v>32.191527715743398</v>
      </c>
      <c r="E21" s="36">
        <f t="shared" ca="1" si="0"/>
        <v>30.691527715743401</v>
      </c>
      <c r="F21" s="35">
        <f t="shared" ca="1" si="0"/>
        <v>33.940383724198497</v>
      </c>
      <c r="G21" s="35">
        <f t="shared" ca="1" si="0"/>
        <v>32.440383724198497</v>
      </c>
      <c r="H21" s="41">
        <v>32.222777715743398</v>
      </c>
      <c r="I21" s="36">
        <v>30.722777715743401</v>
      </c>
      <c r="J21" s="35">
        <v>33.971633724198497</v>
      </c>
      <c r="K21" s="36">
        <v>32.471633724198497</v>
      </c>
      <c r="L21" s="31">
        <f ca="1">LOOKUP(2,1/(INDIRECT("'" &amp; A21&amp; "'!A4"):INDIRECT("'" &amp; A21 &amp; "'!A300")&lt;&gt;""),INDIRECT("'" &amp; A21 &amp; "'!A4"):INDIRECT("'" &amp; A21 &amp; "'!A300"))</f>
        <v>43572</v>
      </c>
    </row>
    <row r="22" spans="1:15" x14ac:dyDescent="0.25">
      <c r="A22" s="17" t="str">
        <f t="shared" si="1"/>
        <v>Trode (17)</v>
      </c>
      <c r="B22" s="25">
        <f ca="1">LOOKUP(2,1/(INDIRECT("'" &amp; A22 &amp; "'!C4"):INDIRECT("'" &amp; A22 &amp; "'!C300")&lt;&gt;""),INDIRECT("'" &amp; A22 &amp; "'!C4"):INDIRECT("'" &amp; A22 &amp; "'!C300"))</f>
        <v>0.5</v>
      </c>
      <c r="C22" s="11">
        <f t="shared" ca="1" si="2"/>
        <v>6.25E-2</v>
      </c>
      <c r="D22" s="35">
        <f t="shared" ca="1" si="0"/>
        <v>31.3035610793901</v>
      </c>
      <c r="E22" s="36">
        <f t="shared" ca="1" si="0"/>
        <v>29.8035610793901</v>
      </c>
      <c r="F22" s="35">
        <f t="shared" ca="1" si="0"/>
        <v>35.563203707686</v>
      </c>
      <c r="G22" s="35">
        <f t="shared" ca="1" si="0"/>
        <v>34.063203707686</v>
      </c>
      <c r="H22" s="41">
        <v>31.3660610793901</v>
      </c>
      <c r="I22" s="36">
        <v>29.8660610793901</v>
      </c>
      <c r="J22" s="35">
        <v>35.625703707686</v>
      </c>
      <c r="K22" s="36">
        <v>34.125703707686</v>
      </c>
      <c r="L22" s="31">
        <f ca="1">LOOKUP(2,1/(INDIRECT("'" &amp; A22&amp; "'!A4"):INDIRECT("'" &amp; A22 &amp; "'!A300")&lt;&gt;""),INDIRECT("'" &amp; A22 &amp; "'!A4"):INDIRECT("'" &amp; A22 &amp; "'!A300"))</f>
        <v>43390</v>
      </c>
    </row>
    <row r="23" spans="1:15" x14ac:dyDescent="0.25">
      <c r="A23" s="17" t="str">
        <f t="shared" si="1"/>
        <v>Trode (18)</v>
      </c>
      <c r="B23" s="25">
        <f ca="1">LOOKUP(2,1/(INDIRECT("'" &amp; A23 &amp; "'!C4"):INDIRECT("'" &amp; A23 &amp; "'!C300")&lt;&gt;""),INDIRECT("'" &amp; A23 &amp; "'!C4"):INDIRECT("'" &amp; A23 &amp; "'!C300"))</f>
        <v>0.25</v>
      </c>
      <c r="C23" s="11">
        <f t="shared" ca="1" si="2"/>
        <v>3.125E-2</v>
      </c>
      <c r="D23" s="35">
        <f t="shared" ca="1" si="0"/>
        <v>30.3489970230933</v>
      </c>
      <c r="E23" s="36">
        <f t="shared" ca="1" si="0"/>
        <v>28.8489970230933</v>
      </c>
      <c r="F23" s="35">
        <f t="shared" ca="1" si="0"/>
        <v>35.860498715932501</v>
      </c>
      <c r="G23" s="35">
        <f t="shared" ca="1" si="0"/>
        <v>34.360498715932501</v>
      </c>
      <c r="H23" s="41">
        <v>30.3802470230933</v>
      </c>
      <c r="I23" s="36">
        <v>28.8802470230933</v>
      </c>
      <c r="J23" s="35">
        <v>35.891748715932501</v>
      </c>
      <c r="K23" s="36">
        <v>34.391748715932501</v>
      </c>
      <c r="L23" s="31">
        <f ca="1">LOOKUP(2,1/(INDIRECT("'" &amp; A23&amp; "'!A4"):INDIRECT("'" &amp; A23 &amp; "'!A300")&lt;&gt;""),INDIRECT("'" &amp; A23 &amp; "'!A4"):INDIRECT("'" &amp; A23 &amp; "'!A300"))</f>
        <v>43572</v>
      </c>
    </row>
    <row r="24" spans="1:15" x14ac:dyDescent="0.25">
      <c r="A24" s="17" t="str">
        <f t="shared" si="1"/>
        <v>Trode (19)</v>
      </c>
      <c r="B24" s="25">
        <f ca="1">LOOKUP(2,1/(INDIRECT("'" &amp; A24 &amp; "'!C4"):INDIRECT("'" &amp; A24 &amp; "'!C300")&lt;&gt;""),INDIRECT("'" &amp; A24 &amp; "'!C4"):INDIRECT("'" &amp; A24 &amp; "'!C300"))</f>
        <v>0.25</v>
      </c>
      <c r="C24" s="11">
        <f t="shared" ca="1" si="2"/>
        <v>3.125E-2</v>
      </c>
      <c r="D24" s="35">
        <f t="shared" ca="1" si="0"/>
        <v>29.762949287319501</v>
      </c>
      <c r="E24" s="36">
        <f t="shared" ca="1" si="0"/>
        <v>28.262949287319501</v>
      </c>
      <c r="F24" s="35">
        <f t="shared" ca="1" si="0"/>
        <v>35.663073077741103</v>
      </c>
      <c r="G24" s="35">
        <f t="shared" ca="1" si="0"/>
        <v>34.163073077741103</v>
      </c>
      <c r="H24" s="41">
        <v>29.794199287319501</v>
      </c>
      <c r="I24" s="36">
        <v>28.294199287319501</v>
      </c>
      <c r="J24" s="35">
        <v>35.694323077741103</v>
      </c>
      <c r="K24" s="36">
        <v>34.194323077741103</v>
      </c>
      <c r="L24" s="31">
        <f ca="1">LOOKUP(2,1/(INDIRECT("'" &amp; A24&amp; "'!A4"):INDIRECT("'" &amp; A24 &amp; "'!A300")&lt;&gt;""),INDIRECT("'" &amp; A24 &amp; "'!A4"):INDIRECT("'" &amp; A24 &amp; "'!A300"))</f>
        <v>43572</v>
      </c>
    </row>
    <row r="25" spans="1:15" x14ac:dyDescent="0.25">
      <c r="A25" s="17" t="str">
        <f t="shared" si="1"/>
        <v>Trode (20)</v>
      </c>
      <c r="B25" s="25">
        <f ca="1">LOOKUP(2,1/(INDIRECT("'" &amp; A25 &amp; "'!C4"):INDIRECT("'" &amp; A25 &amp; "'!C300")&lt;&gt;""),INDIRECT("'" &amp; A25 &amp; "'!C4"):INDIRECT("'" &amp; A25 &amp; "'!C300"))</f>
        <v>0.25</v>
      </c>
      <c r="C25" s="11">
        <f t="shared" ca="1" si="2"/>
        <v>3.125E-2</v>
      </c>
      <c r="D25" s="35">
        <f t="shared" ca="1" si="0"/>
        <v>29.647909188909001</v>
      </c>
      <c r="E25" s="36">
        <f t="shared" ca="1" si="0"/>
        <v>28.147909188909001</v>
      </c>
      <c r="F25" s="35">
        <f ca="1">J25-$C25</f>
        <v>34.971167159181199</v>
      </c>
      <c r="G25" s="35">
        <f t="shared" ca="1" si="0"/>
        <v>33.471167159181199</v>
      </c>
      <c r="H25" s="41">
        <v>29.679159188909001</v>
      </c>
      <c r="I25" s="36">
        <v>28.179159188909001</v>
      </c>
      <c r="J25" s="35">
        <v>35.002417159181199</v>
      </c>
      <c r="K25" s="36">
        <v>33.502417159181199</v>
      </c>
      <c r="L25" s="31">
        <f ca="1">LOOKUP(2,1/(INDIRECT("'" &amp; A25&amp; "'!A4"):INDIRECT("'" &amp; A25 &amp; "'!A300")&lt;&gt;""),INDIRECT("'" &amp; A25 &amp; "'!A4"):INDIRECT("'" &amp; A25 &amp; "'!A300"))</f>
        <v>43566</v>
      </c>
    </row>
    <row r="26" spans="1:15" x14ac:dyDescent="0.25">
      <c r="A26" s="17" t="str">
        <f t="shared" si="1"/>
        <v>Trode (21)</v>
      </c>
      <c r="B26" s="25">
        <f ca="1">LOOKUP(2,1/(INDIRECT("'" &amp; A26 &amp; "'!C4"):INDIRECT("'" &amp; A26 &amp; "'!C300")&lt;&gt;""),INDIRECT("'" &amp; A26 &amp; "'!C4"):INDIRECT("'" &amp; A26 &amp; "'!C300"))</f>
        <v>0.25</v>
      </c>
      <c r="C26" s="11">
        <f t="shared" ca="1" si="2"/>
        <v>3.125E-2</v>
      </c>
      <c r="D26" s="35">
        <f t="shared" ca="1" si="0"/>
        <v>30.4693453115575</v>
      </c>
      <c r="E26" s="36">
        <f t="shared" ca="1" si="0"/>
        <v>28.9693453115575</v>
      </c>
      <c r="F26" s="35">
        <f t="shared" ca="1" si="0"/>
        <v>33.925736118486597</v>
      </c>
      <c r="G26" s="35">
        <f t="shared" ca="1" si="0"/>
        <v>32.425736118486597</v>
      </c>
      <c r="H26" s="41">
        <v>30.5005953115575</v>
      </c>
      <c r="I26" s="36">
        <v>29.0005953115575</v>
      </c>
      <c r="J26" s="35">
        <v>33.956986118486597</v>
      </c>
      <c r="K26" s="36">
        <v>32.456986118486597</v>
      </c>
      <c r="L26" s="31">
        <f ca="1">LOOKUP(2,1/(INDIRECT("'" &amp; A26&amp; "'!A4"):INDIRECT("'" &amp; A26 &amp; "'!A300")&lt;&gt;""),INDIRECT("'" &amp; A26 &amp; "'!A4"):INDIRECT("'" &amp; A26 &amp; "'!A300"))</f>
        <v>43572</v>
      </c>
    </row>
    <row r="27" spans="1:15" x14ac:dyDescent="0.25">
      <c r="A27" s="17" t="str">
        <f t="shared" si="1"/>
        <v>Trode (22)</v>
      </c>
      <c r="B27" s="25">
        <f ca="1">LOOKUP(2,1/(INDIRECT("'" &amp; A27 &amp; "'!C4"):INDIRECT("'" &amp; A27 &amp; "'!C300")&lt;&gt;""),INDIRECT("'" &amp; A27 &amp; "'!C4"):INDIRECT("'" &amp; A27 &amp; "'!C300"))</f>
        <v>0.25</v>
      </c>
      <c r="C27" s="11">
        <f ca="1">B27/8</f>
        <v>3.125E-2</v>
      </c>
      <c r="D27" s="35">
        <f t="shared" ca="1" si="0"/>
        <v>33.829863406733701</v>
      </c>
      <c r="E27" s="36">
        <f t="shared" ca="1" si="0"/>
        <v>32.329863406733701</v>
      </c>
      <c r="F27" s="35">
        <f t="shared" ca="1" si="0"/>
        <v>34.681485304623699</v>
      </c>
      <c r="G27" s="35">
        <f t="shared" ca="1" si="0"/>
        <v>33.181485304623699</v>
      </c>
      <c r="H27" s="41">
        <v>33.861113406733701</v>
      </c>
      <c r="I27" s="36">
        <v>32.361113406733701</v>
      </c>
      <c r="J27" s="35">
        <v>34.712735304623699</v>
      </c>
      <c r="K27" s="36">
        <v>33.212735304623699</v>
      </c>
      <c r="L27" s="31">
        <f ca="1">LOOKUP(2,1/(INDIRECT("'" &amp; A27&amp; "'!A4"):INDIRECT("'" &amp; A27 &amp; "'!A300")&lt;&gt;""),INDIRECT("'" &amp; A27 &amp; "'!A4"):INDIRECT("'" &amp; A27 &amp; "'!A300"))</f>
        <v>43572</v>
      </c>
    </row>
    <row r="28" spans="1:15" x14ac:dyDescent="0.25">
      <c r="A28" s="17" t="str">
        <f t="shared" si="1"/>
        <v>Trode (23)</v>
      </c>
      <c r="B28" s="25">
        <f ca="1">LOOKUP(2,1/(INDIRECT("'" &amp; A28 &amp; "'!C4"):INDIRECT("'" &amp; A28 &amp; "'!C300")&lt;&gt;""),INDIRECT("'" &amp; A28 &amp; "'!C4"):INDIRECT("'" &amp; A28 &amp; "'!C300"))</f>
        <v>0.25</v>
      </c>
      <c r="C28" s="11">
        <f t="shared" ca="1" si="2"/>
        <v>3.125E-2</v>
      </c>
      <c r="D28" s="35">
        <f t="shared" ca="1" si="0"/>
        <v>33.103595440042902</v>
      </c>
      <c r="E28" s="36">
        <f t="shared" ca="1" si="0"/>
        <v>31.603595440042898</v>
      </c>
      <c r="F28" s="35">
        <f t="shared" ca="1" si="0"/>
        <v>34.601429390611401</v>
      </c>
      <c r="G28" s="35">
        <f t="shared" ca="1" si="0"/>
        <v>33.101429390611401</v>
      </c>
      <c r="H28" s="41">
        <v>33.134845440042902</v>
      </c>
      <c r="I28" s="36">
        <v>31.634845440042898</v>
      </c>
      <c r="J28" s="35">
        <v>34.632679390611401</v>
      </c>
      <c r="K28" s="36">
        <v>33.132679390611401</v>
      </c>
      <c r="L28" s="31">
        <f ca="1">LOOKUP(2,1/(INDIRECT("'" &amp; A28&amp; "'!A4"):INDIRECT("'" &amp; A28 &amp; "'!A300")&lt;&gt;""),INDIRECT("'" &amp; A28 &amp; "'!A4"):INDIRECT("'" &amp; A28 &amp; "'!A300"))</f>
        <v>43572</v>
      </c>
    </row>
    <row r="29" spans="1:15" x14ac:dyDescent="0.25">
      <c r="A29" s="17" t="str">
        <f t="shared" si="1"/>
        <v>Trode (24)</v>
      </c>
      <c r="B29" s="25">
        <f ca="1">LOOKUP(2,1/(INDIRECT("'" &amp; A29 &amp; "'!C4"):INDIRECT("'" &amp; A29 &amp; "'!C300")&lt;&gt;""),INDIRECT("'" &amp; A29 &amp; "'!C4"):INDIRECT("'" &amp; A29 &amp; "'!C300"))</f>
        <v>0.25</v>
      </c>
      <c r="C29" s="11">
        <f t="shared" ca="1" si="2"/>
        <v>3.125E-2</v>
      </c>
      <c r="D29" s="35">
        <f t="shared" ca="1" si="0"/>
        <v>32.6551177497129</v>
      </c>
      <c r="E29" s="36">
        <f t="shared" ca="1" si="0"/>
        <v>31.1551177497129</v>
      </c>
      <c r="F29" s="35">
        <f t="shared" ca="1" si="0"/>
        <v>34.708810797453197</v>
      </c>
      <c r="G29" s="35">
        <f t="shared" ca="1" si="0"/>
        <v>33.208810797453197</v>
      </c>
      <c r="H29" s="41">
        <v>32.6863677497129</v>
      </c>
      <c r="I29" s="36">
        <v>31.1863677497129</v>
      </c>
      <c r="J29" s="35">
        <v>34.740060797453197</v>
      </c>
      <c r="K29" s="36">
        <v>33.240060797453197</v>
      </c>
      <c r="L29" s="31">
        <f ca="1">LOOKUP(2,1/(INDIRECT("'" &amp; A29&amp; "'!A4"):INDIRECT("'" &amp; A29 &amp; "'!A300")&lt;&gt;""),INDIRECT("'" &amp; A29 &amp; "'!A4"):INDIRECT("'" &amp; A29 &amp; "'!A300"))</f>
        <v>43493</v>
      </c>
    </row>
    <row r="30" spans="1:15" x14ac:dyDescent="0.25">
      <c r="A30" s="17" t="str">
        <f t="shared" si="1"/>
        <v>Trode (25)</v>
      </c>
      <c r="B30" s="25">
        <f ca="1">LOOKUP(2,1/(INDIRECT("'" &amp; A30 &amp; "'!C4"):INDIRECT("'" &amp; A30 &amp; "'!C300")&lt;&gt;""),INDIRECT("'" &amp; A30 &amp; "'!C4"):INDIRECT("'" &amp; A30 &amp; "'!C300"))</f>
        <v>0.5</v>
      </c>
      <c r="C30" s="11">
        <f t="shared" ca="1" si="2"/>
        <v>6.25E-2</v>
      </c>
      <c r="D30" s="35">
        <f t="shared" ca="1" si="0"/>
        <v>32.160337811883402</v>
      </c>
      <c r="E30" s="36">
        <f t="shared" ca="1" si="0"/>
        <v>30.660337811883402</v>
      </c>
      <c r="F30" s="35">
        <f t="shared" ca="1" si="0"/>
        <v>36.2775700547108</v>
      </c>
      <c r="G30" s="35">
        <f t="shared" ca="1" si="0"/>
        <v>34.7775700547108</v>
      </c>
      <c r="H30" s="41">
        <v>32.222837811883402</v>
      </c>
      <c r="I30" s="36">
        <v>30.722837811883402</v>
      </c>
      <c r="J30" s="35">
        <v>36.3400700547108</v>
      </c>
      <c r="K30" s="36">
        <v>34.8400700547108</v>
      </c>
      <c r="L30" s="31">
        <f ca="1">LOOKUP(2,1/(INDIRECT("'" &amp; A30&amp; "'!A4"):INDIRECT("'" &amp; A30 &amp; "'!A300")&lt;&gt;""),INDIRECT("'" &amp; A30 &amp; "'!A4"):INDIRECT("'" &amp; A30 &amp; "'!A300"))</f>
        <v>43564</v>
      </c>
    </row>
    <row r="31" spans="1:15" x14ac:dyDescent="0.25">
      <c r="A31" s="17" t="str">
        <f t="shared" si="1"/>
        <v>Trode (26)</v>
      </c>
      <c r="B31" s="25">
        <f ca="1">LOOKUP(2,1/(INDIRECT("'" &amp; A31 &amp; "'!C4"):INDIRECT("'" &amp; A31 &amp; "'!C300")&lt;&gt;""),INDIRECT("'" &amp; A31 &amp; "'!C4"):INDIRECT("'" &amp; A31 &amp; "'!C300"))</f>
        <v>0.25</v>
      </c>
      <c r="C31" s="11">
        <f t="shared" ca="1" si="2"/>
        <v>3.125E-2</v>
      </c>
      <c r="D31" s="35">
        <f t="shared" ca="1" si="0"/>
        <v>31.195653997434899</v>
      </c>
      <c r="E31" s="36">
        <f t="shared" ca="1" si="0"/>
        <v>29.695653997434899</v>
      </c>
      <c r="F31" s="35">
        <f t="shared" ca="1" si="0"/>
        <v>36.652349234180001</v>
      </c>
      <c r="G31" s="35">
        <f t="shared" ca="1" si="0"/>
        <v>35.152349234180001</v>
      </c>
      <c r="H31" s="41">
        <v>31.226903997434899</v>
      </c>
      <c r="I31" s="36">
        <v>29.726903997434899</v>
      </c>
      <c r="J31" s="35">
        <v>36.683599234180001</v>
      </c>
      <c r="K31" s="36">
        <v>35.183599234180001</v>
      </c>
      <c r="L31" s="31">
        <f ca="1">LOOKUP(2,1/(INDIRECT("'" &amp; A31&amp; "'!A4"):INDIRECT("'" &amp; A31 &amp; "'!A300")&lt;&gt;""),INDIRECT("'" &amp; A31 &amp; "'!A4"):INDIRECT("'" &amp; A31 &amp; "'!A300"))</f>
        <v>43566</v>
      </c>
      <c r="O31" s="27"/>
    </row>
    <row r="32" spans="1:15" x14ac:dyDescent="0.25">
      <c r="A32" s="17" t="str">
        <f t="shared" si="1"/>
        <v>Trode (27)</v>
      </c>
      <c r="B32" s="25">
        <f ca="1">LOOKUP(2,1/(INDIRECT("'" &amp; A32 &amp; "'!C4"):INDIRECT("'" &amp; A32 &amp; "'!C300")&lt;&gt;""),INDIRECT("'" &amp; A32 &amp; "'!C4"):INDIRECT("'" &amp; A32 &amp; "'!C300"))</f>
        <v>0.5</v>
      </c>
      <c r="C32" s="11">
        <f t="shared" ca="1" si="2"/>
        <v>6.25E-2</v>
      </c>
      <c r="D32" s="35">
        <f t="shared" ca="1" si="0"/>
        <v>30.684030903366001</v>
      </c>
      <c r="E32" s="36">
        <f t="shared" ca="1" si="0"/>
        <v>29.184030903366001</v>
      </c>
      <c r="F32" s="35">
        <f t="shared" ca="1" si="0"/>
        <v>36.806907952635903</v>
      </c>
      <c r="G32" s="35">
        <f t="shared" ca="1" si="0"/>
        <v>35.306907952635903</v>
      </c>
      <c r="H32" s="41">
        <v>30.746530903366001</v>
      </c>
      <c r="I32" s="36">
        <v>29.246530903366001</v>
      </c>
      <c r="J32" s="35">
        <v>36.869407952635903</v>
      </c>
      <c r="K32" s="36">
        <v>35.369407952635903</v>
      </c>
      <c r="L32" s="31">
        <f ca="1">LOOKUP(2,1/(INDIRECT("'" &amp; A32&amp; "'!A4"):INDIRECT("'" &amp; A32 &amp; "'!A300")&lt;&gt;""),INDIRECT("'" &amp; A32 &amp; "'!A4"):INDIRECT("'" &amp; A32 &amp; "'!A300"))</f>
        <v>43572</v>
      </c>
      <c r="O32" s="27"/>
    </row>
    <row r="33" spans="1:15" x14ac:dyDescent="0.25">
      <c r="A33" s="17" t="str">
        <f t="shared" si="1"/>
        <v>Trode (28)</v>
      </c>
      <c r="B33" s="25">
        <f ca="1">LOOKUP(2,1/(INDIRECT("'" &amp; A33 &amp; "'!C4"):INDIRECT("'" &amp; A33 &amp; "'!C300")&lt;&gt;""),INDIRECT("'" &amp; A33 &amp; "'!C4"):INDIRECT("'" &amp; A33 &amp; "'!C300"))</f>
        <v>0.5</v>
      </c>
      <c r="C33" s="11">
        <f t="shared" ca="1" si="2"/>
        <v>6.25E-2</v>
      </c>
      <c r="D33" s="35">
        <f t="shared" ca="1" si="0"/>
        <v>30.385125138993502</v>
      </c>
      <c r="E33" s="36">
        <f t="shared" ca="1" si="0"/>
        <v>28.885125138993502</v>
      </c>
      <c r="F33" s="35" t="s">
        <v>22</v>
      </c>
      <c r="G33" s="35" t="s">
        <v>22</v>
      </c>
      <c r="H33" s="41">
        <v>30.447625138993502</v>
      </c>
      <c r="I33" s="36">
        <v>28.947625138993502</v>
      </c>
      <c r="J33" s="35" t="s">
        <v>22</v>
      </c>
      <c r="K33" s="36" t="s">
        <v>22</v>
      </c>
      <c r="L33" s="31">
        <f ca="1">LOOKUP(2,1/(INDIRECT("'" &amp; A33&amp; "'!A4"):INDIRECT("'" &amp; A33 &amp; "'!A300")&lt;&gt;""),INDIRECT("'" &amp; A33 &amp; "'!A4"):INDIRECT("'" &amp; A33 &amp; "'!A300"))</f>
        <v>43513</v>
      </c>
      <c r="O33" s="27"/>
    </row>
    <row r="34" spans="1:15" x14ac:dyDescent="0.25">
      <c r="A34" s="17" t="str">
        <f t="shared" si="1"/>
        <v>Trode (29)</v>
      </c>
      <c r="B34" s="25">
        <f ca="1">LOOKUP(2,1/(INDIRECT("'" &amp; A34 &amp; "'!C4"):INDIRECT("'" &amp; A34 &amp; "'!C300")&lt;&gt;""),INDIRECT("'" &amp; A34 &amp; "'!C4"):INDIRECT("'" &amp; A34 &amp; "'!C300"))</f>
        <v>0.5</v>
      </c>
      <c r="C34" s="11">
        <f t="shared" ca="1" si="2"/>
        <v>6.25E-2</v>
      </c>
      <c r="D34" s="35">
        <f t="shared" ca="1" si="0"/>
        <v>30.359119119161399</v>
      </c>
      <c r="E34" s="36">
        <f t="shared" ca="1" si="0"/>
        <v>28.859119119161399</v>
      </c>
      <c r="F34" s="35" t="s">
        <v>22</v>
      </c>
      <c r="G34" s="35" t="s">
        <v>22</v>
      </c>
      <c r="H34" s="41">
        <v>30.421619119161399</v>
      </c>
      <c r="I34" s="36">
        <v>28.921619119161399</v>
      </c>
      <c r="J34" s="35" t="s">
        <v>22</v>
      </c>
      <c r="K34" s="36" t="s">
        <v>22</v>
      </c>
      <c r="L34" s="31">
        <f ca="1">LOOKUP(2,1/(INDIRECT("'" &amp; A34&amp; "'!A4"):INDIRECT("'" &amp; A34 &amp; "'!A300")&lt;&gt;""),INDIRECT("'" &amp; A34 &amp; "'!A4"):INDIRECT("'" &amp; A34 &amp; "'!A300"))</f>
        <v>43566</v>
      </c>
    </row>
    <row r="35" spans="1:15" x14ac:dyDescent="0.25">
      <c r="A35" s="17" t="str">
        <f t="shared" si="1"/>
        <v>Trode (30)</v>
      </c>
      <c r="B35" s="25">
        <f ca="1">LOOKUP(2,1/(INDIRECT("'" &amp; A35 &amp; "'!C4"):INDIRECT("'" &amp; A35 &amp; "'!C300")&lt;&gt;""),INDIRECT("'" &amp; A35 &amp; "'!C4"):INDIRECT("'" &amp; A35 &amp; "'!C300"))</f>
        <v>0.5</v>
      </c>
      <c r="C35" s="11">
        <f t="shared" ca="1" si="2"/>
        <v>6.25E-2</v>
      </c>
      <c r="D35" s="35" t="s">
        <v>22</v>
      </c>
      <c r="E35" s="36" t="s">
        <v>22</v>
      </c>
      <c r="F35" s="35">
        <f t="shared" ref="F35:G40" ca="1" si="4">J35-$C35</f>
        <v>36.768212714177899</v>
      </c>
      <c r="G35" s="35">
        <f t="shared" ca="1" si="4"/>
        <v>35.268212714177899</v>
      </c>
      <c r="H35" s="41" t="s">
        <v>22</v>
      </c>
      <c r="I35" s="36" t="s">
        <v>22</v>
      </c>
      <c r="J35" s="35">
        <v>36.830712714177899</v>
      </c>
      <c r="K35" s="36">
        <v>35.330712714177899</v>
      </c>
      <c r="L35" s="31">
        <f ca="1">LOOKUP(2,1/(INDIRECT("'" &amp; A35&amp; "'!A4"):INDIRECT("'" &amp; A35 &amp; "'!A300")&lt;&gt;""),INDIRECT("'" &amp; A35 &amp; "'!A4"):INDIRECT("'" &amp; A35 &amp; "'!A300"))</f>
        <v>43566</v>
      </c>
    </row>
    <row r="36" spans="1:15" x14ac:dyDescent="0.25">
      <c r="A36" s="17" t="str">
        <f t="shared" si="1"/>
        <v>Trode (31)</v>
      </c>
      <c r="B36" s="25">
        <f ca="1">LOOKUP(2,1/(INDIRECT("'" &amp; A36 &amp; "'!C4"):INDIRECT("'" &amp; A36 &amp; "'!C300")&lt;&gt;""),INDIRECT("'" &amp; A36 &amp; "'!C4"):INDIRECT("'" &amp; A36 &amp; "'!C300"))</f>
        <v>0.5</v>
      </c>
      <c r="C36" s="11">
        <f t="shared" ca="1" si="2"/>
        <v>6.25E-2</v>
      </c>
      <c r="D36" s="35">
        <f t="shared" ca="1" si="0"/>
        <v>35.014470528790497</v>
      </c>
      <c r="E36" s="36">
        <f t="shared" ca="1" si="0"/>
        <v>33.514470528790497</v>
      </c>
      <c r="F36" s="35">
        <f t="shared" ca="1" si="4"/>
        <v>35.626680618937797</v>
      </c>
      <c r="G36" s="35">
        <f t="shared" ca="1" si="4"/>
        <v>34.126680618937797</v>
      </c>
      <c r="H36" s="41">
        <v>35.076970528790497</v>
      </c>
      <c r="I36" s="36">
        <v>33.576970528790497</v>
      </c>
      <c r="J36" s="35">
        <v>35.689180618937797</v>
      </c>
      <c r="K36" s="36">
        <v>34.189180618937797</v>
      </c>
      <c r="L36" s="31">
        <f ca="1">LOOKUP(2,1/(INDIRECT("'" &amp; A36&amp; "'!A4"):INDIRECT("'" &amp; A36 &amp; "'!A300")&lt;&gt;""),INDIRECT("'" &amp; A36 &amp; "'!A4"):INDIRECT("'" &amp; A36 &amp; "'!A300"))</f>
        <v>43572</v>
      </c>
    </row>
    <row r="37" spans="1:15" x14ac:dyDescent="0.25">
      <c r="A37" s="17" t="str">
        <f t="shared" si="1"/>
        <v>Trode (32)</v>
      </c>
      <c r="B37" s="25">
        <f ca="1">LOOKUP(2,1/(INDIRECT("'" &amp; A37 &amp; "'!C4"):INDIRECT("'" &amp; A37 &amp; "'!C300")&lt;&gt;""),INDIRECT("'" &amp; A37 &amp; "'!C4"):INDIRECT("'" &amp; A37 &amp; "'!C300"))</f>
        <v>0.5</v>
      </c>
      <c r="C37" s="11">
        <f t="shared" ca="1" si="2"/>
        <v>6.25E-2</v>
      </c>
      <c r="D37" s="35">
        <f t="shared" ca="1" si="0"/>
        <v>34.0007841202154</v>
      </c>
      <c r="E37" s="36">
        <f t="shared" ca="1" si="0"/>
        <v>32.5007841202154</v>
      </c>
      <c r="F37" s="35">
        <f t="shared" ca="1" si="4"/>
        <v>35.386301492614301</v>
      </c>
      <c r="G37" s="35">
        <f t="shared" ca="1" si="4"/>
        <v>33.886301492614301</v>
      </c>
      <c r="H37" s="41">
        <v>34.0632841202154</v>
      </c>
      <c r="I37" s="36">
        <v>32.5632841202154</v>
      </c>
      <c r="J37" s="35">
        <v>35.448801492614301</v>
      </c>
      <c r="K37" s="36">
        <v>33.948801492614301</v>
      </c>
      <c r="L37" s="31">
        <f ca="1">LOOKUP(2,1/(INDIRECT("'" &amp; A37&amp; "'!A4"):INDIRECT("'" &amp; A37 &amp; "'!A300")&lt;&gt;""),INDIRECT("'" &amp; A37 &amp; "'!A4"):INDIRECT("'" &amp; A37 &amp; "'!A300"))</f>
        <v>43572</v>
      </c>
    </row>
    <row r="38" spans="1:15" x14ac:dyDescent="0.25">
      <c r="A38" s="17" t="str">
        <f t="shared" si="1"/>
        <v>Trode (33)</v>
      </c>
      <c r="B38" s="25">
        <f ca="1">LOOKUP(2,1/(INDIRECT("'" &amp; A38 &amp; "'!C4"):INDIRECT("'" &amp; A38 &amp; "'!C300")&lt;&gt;""),INDIRECT("'" &amp; A38 &amp; "'!C4"):INDIRECT("'" &amp; A38 &amp; "'!C300"))</f>
        <v>0.5</v>
      </c>
      <c r="C38" s="11">
        <f t="shared" ca="1" si="2"/>
        <v>6.25E-2</v>
      </c>
      <c r="D38" s="35">
        <f t="shared" ca="1" si="0"/>
        <v>33.095907491661599</v>
      </c>
      <c r="E38" s="36">
        <f t="shared" ca="1" si="0"/>
        <v>31.595907491661599</v>
      </c>
      <c r="F38" s="35">
        <f t="shared" ca="1" si="4"/>
        <v>37.088912509621302</v>
      </c>
      <c r="G38" s="35">
        <f t="shared" ca="1" si="4"/>
        <v>35.588912509621302</v>
      </c>
      <c r="H38" s="41">
        <v>33.158407491661599</v>
      </c>
      <c r="I38" s="36">
        <v>31.658407491661599</v>
      </c>
      <c r="J38" s="35">
        <v>37.151412509621302</v>
      </c>
      <c r="K38" s="36">
        <v>35.651412509621302</v>
      </c>
      <c r="L38" s="31">
        <f ca="1">LOOKUP(2,1/(INDIRECT("'" &amp; A38&amp; "'!A4"):INDIRECT("'" &amp; A38 &amp; "'!A300")&lt;&gt;""),INDIRECT("'" &amp; A38 &amp; "'!A4"):INDIRECT("'" &amp; A38 &amp; "'!A300"))</f>
        <v>43564</v>
      </c>
      <c r="O38" s="27"/>
    </row>
    <row r="39" spans="1:15" x14ac:dyDescent="0.25">
      <c r="A39" s="17" t="str">
        <f t="shared" si="1"/>
        <v>Trode (34)</v>
      </c>
      <c r="B39" s="25">
        <f ca="1">LOOKUP(2,1/(INDIRECT("'" &amp; A39 &amp; "'!C4"):INDIRECT("'" &amp; A39 &amp; "'!C300")&lt;&gt;""),INDIRECT("'" &amp; A39 &amp; "'!C4"):INDIRECT("'" &amp; A39 &amp; "'!C300"))</f>
        <v>0.5</v>
      </c>
      <c r="C39" s="11">
        <f t="shared" ca="1" si="2"/>
        <v>6.25E-2</v>
      </c>
      <c r="D39" s="35">
        <f t="shared" ca="1" si="0"/>
        <v>31.715664819166498</v>
      </c>
      <c r="E39" s="36">
        <f t="shared" ca="1" si="0"/>
        <v>30.215664819166498</v>
      </c>
      <c r="F39" s="35">
        <f t="shared" ca="1" si="4"/>
        <v>37.553702561163099</v>
      </c>
      <c r="G39" s="35">
        <f t="shared" ca="1" si="4"/>
        <v>36.053702561163099</v>
      </c>
      <c r="H39" s="41">
        <v>31.778164819166498</v>
      </c>
      <c r="I39" s="36">
        <v>30.278164819166498</v>
      </c>
      <c r="J39" s="35">
        <v>37.616202561163099</v>
      </c>
      <c r="K39" s="36">
        <v>36.116202561163099</v>
      </c>
      <c r="L39" s="31">
        <f ca="1">LOOKUP(2,1/(INDIRECT("'" &amp; A39&amp; "'!A4"):INDIRECT("'" &amp; A39 &amp; "'!A300")&lt;&gt;""),INDIRECT("'" &amp; A39 &amp; "'!A4"):INDIRECT("'" &amp; A39 &amp; "'!A300"))</f>
        <v>43572</v>
      </c>
      <c r="O39" s="27"/>
    </row>
    <row r="40" spans="1:15" x14ac:dyDescent="0.25">
      <c r="A40" s="17" t="str">
        <f t="shared" si="1"/>
        <v>Trode (35)</v>
      </c>
      <c r="B40" s="25">
        <f ca="1">LOOKUP(2,1/(INDIRECT("'" &amp; A40 &amp; "'!C4"):INDIRECT("'" &amp; A40 &amp; "'!C300")&lt;&gt;""),INDIRECT("'" &amp; A40 &amp; "'!C4"):INDIRECT("'" &amp; A40 &amp; "'!C300"))</f>
        <v>0.25</v>
      </c>
      <c r="C40" s="11">
        <f t="shared" ca="1" si="2"/>
        <v>3.125E-2</v>
      </c>
      <c r="D40" s="35">
        <f t="shared" ca="1" si="0"/>
        <v>31.022499350932002</v>
      </c>
      <c r="E40" s="36">
        <f t="shared" ca="1" si="0"/>
        <v>29.522499350932002</v>
      </c>
      <c r="F40" s="35">
        <f t="shared" ca="1" si="4"/>
        <v>37.731081840384498</v>
      </c>
      <c r="G40" s="35">
        <f t="shared" ca="1" si="4"/>
        <v>36.231081840384498</v>
      </c>
      <c r="H40" s="41">
        <v>31.053749350932002</v>
      </c>
      <c r="I40" s="36">
        <v>29.553749350932002</v>
      </c>
      <c r="J40" s="35">
        <v>37.762331840384498</v>
      </c>
      <c r="K40" s="36">
        <v>36.262331840384498</v>
      </c>
      <c r="L40" s="31">
        <f ca="1">LOOKUP(2,1/(INDIRECT("'" &amp; A40&amp; "'!A4"):INDIRECT("'" &amp; A40 &amp; "'!A300")&lt;&gt;""),INDIRECT("'" &amp; A40 &amp; "'!A4"):INDIRECT("'" &amp; A40 &amp; "'!A300"))</f>
        <v>43516</v>
      </c>
    </row>
    <row r="41" spans="1:15" x14ac:dyDescent="0.25">
      <c r="A41" s="17" t="str">
        <f t="shared" si="1"/>
        <v>Trode (36)</v>
      </c>
      <c r="B41" s="25">
        <f ca="1">LOOKUP(2,1/(INDIRECT("'" &amp; A41 &amp; "'!C4"):INDIRECT("'" &amp; A41 &amp; "'!C300")&lt;&gt;""),INDIRECT("'" &amp; A41 &amp; "'!C4"):INDIRECT("'" &amp; A41 &amp; "'!C300"))</f>
        <v>0.5</v>
      </c>
      <c r="C41" s="11">
        <f t="shared" ca="1" si="2"/>
        <v>6.25E-2</v>
      </c>
      <c r="D41" s="35">
        <f t="shared" ca="1" si="0"/>
        <v>30.730474252695299</v>
      </c>
      <c r="E41" s="36">
        <f t="shared" ca="1" si="0"/>
        <v>29.230474252695299</v>
      </c>
      <c r="F41" s="35" t="s">
        <v>22</v>
      </c>
      <c r="G41" s="35" t="s">
        <v>22</v>
      </c>
      <c r="H41" s="41">
        <v>30.792974252695299</v>
      </c>
      <c r="I41" s="36">
        <v>29.292974252695299</v>
      </c>
      <c r="J41" s="35" t="s">
        <v>22</v>
      </c>
      <c r="K41" s="36" t="s">
        <v>22</v>
      </c>
      <c r="L41" s="31">
        <f ca="1">LOOKUP(2,1/(INDIRECT("'" &amp; A41&amp; "'!A4"):INDIRECT("'" &amp; A41 &amp; "'!A300")&lt;&gt;""),INDIRECT("'" &amp; A41 &amp; "'!A4"):INDIRECT("'" &amp; A41 &amp; "'!A300"))</f>
        <v>43572</v>
      </c>
    </row>
    <row r="42" spans="1:15" x14ac:dyDescent="0.25">
      <c r="A42" s="17" t="str">
        <f t="shared" si="1"/>
        <v>Trode (37)</v>
      </c>
      <c r="B42" s="25">
        <f ca="1">LOOKUP(2,1/(INDIRECT("'" &amp; A42 &amp; "'!C4"):INDIRECT("'" &amp; A42 &amp; "'!C300")&lt;&gt;""),INDIRECT("'" &amp; A42 &amp; "'!C4"):INDIRECT("'" &amp; A42 &amp; "'!C300"))</f>
        <v>0.5</v>
      </c>
      <c r="C42" s="11">
        <f ca="1">B42/8</f>
        <v>6.25E-2</v>
      </c>
      <c r="D42" s="35">
        <f t="shared" ca="1" si="0"/>
        <v>30.6149894371801</v>
      </c>
      <c r="E42" s="36">
        <f t="shared" ca="1" si="0"/>
        <v>29.1149894371801</v>
      </c>
      <c r="F42" s="35" t="s">
        <v>22</v>
      </c>
      <c r="G42" s="35" t="s">
        <v>22</v>
      </c>
      <c r="H42" s="41">
        <v>30.6774894371801</v>
      </c>
      <c r="I42" s="36">
        <v>29.1774894371801</v>
      </c>
      <c r="J42" s="35" t="s">
        <v>22</v>
      </c>
      <c r="K42" s="36" t="s">
        <v>22</v>
      </c>
      <c r="L42" s="31">
        <f ca="1">LOOKUP(2,1/(INDIRECT("'" &amp; A42&amp; "'!A4"):INDIRECT("'" &amp; A42 &amp; "'!A300")&lt;&gt;""),INDIRECT("'" &amp; A42 &amp; "'!A4"):INDIRECT("'" &amp; A42 &amp; "'!A300"))</f>
        <v>43572</v>
      </c>
    </row>
    <row r="43" spans="1:15" x14ac:dyDescent="0.25">
      <c r="A43" s="17" t="str">
        <f t="shared" si="1"/>
        <v>Trode (38)</v>
      </c>
      <c r="B43" s="25">
        <f ca="1">LOOKUP(2,1/(INDIRECT("'" &amp; A43 &amp; "'!C4"):INDIRECT("'" &amp; A43 &amp; "'!C300")&lt;&gt;""),INDIRECT("'" &amp; A43 &amp; "'!C4"):INDIRECT("'" &amp; A43 &amp; "'!C300"))</f>
        <v>0.5</v>
      </c>
      <c r="C43" s="11">
        <f t="shared" ca="1" si="2"/>
        <v>6.25E-2</v>
      </c>
      <c r="D43" s="35" t="s">
        <v>22</v>
      </c>
      <c r="E43" s="36" t="s">
        <v>22</v>
      </c>
      <c r="F43" s="35">
        <f t="shared" ref="F43:G48" ca="1" si="5">J43-$C43</f>
        <v>37.920176479801903</v>
      </c>
      <c r="G43" s="35">
        <f t="shared" ca="1" si="5"/>
        <v>36.420176479801903</v>
      </c>
      <c r="H43" s="41" t="s">
        <v>22</v>
      </c>
      <c r="I43" s="36" t="s">
        <v>22</v>
      </c>
      <c r="J43" s="35">
        <v>37.982676479801903</v>
      </c>
      <c r="K43" s="36">
        <v>36.482676479801903</v>
      </c>
      <c r="L43" s="31">
        <f ca="1">LOOKUP(2,1/(INDIRECT("'" &amp; A43&amp; "'!A4"):INDIRECT("'" &amp; A43 &amp; "'!A300")&lt;&gt;""),INDIRECT("'" &amp; A43 &amp; "'!A4"):INDIRECT("'" &amp; A43 &amp; "'!A300"))</f>
        <v>43418</v>
      </c>
    </row>
    <row r="44" spans="1:15" x14ac:dyDescent="0.25">
      <c r="A44" s="17" t="str">
        <f t="shared" si="1"/>
        <v>Trode (39)</v>
      </c>
      <c r="B44" s="25">
        <f ca="1">LOOKUP(2,1/(INDIRECT("'" &amp; A44 &amp; "'!C4"):INDIRECT("'" &amp; A44 &amp; "'!C300")&lt;&gt;""),INDIRECT("'" &amp; A44 &amp; "'!C4"):INDIRECT("'" &amp; A44 &amp; "'!C300"))</f>
        <v>0.25</v>
      </c>
      <c r="C44" s="11">
        <f t="shared" ca="1" si="2"/>
        <v>3.125E-2</v>
      </c>
      <c r="D44" s="35" t="s">
        <v>22</v>
      </c>
      <c r="E44" s="36" t="s">
        <v>22</v>
      </c>
      <c r="F44" s="35">
        <f t="shared" ca="1" si="5"/>
        <v>36.780155606249302</v>
      </c>
      <c r="G44" s="35">
        <f t="shared" ca="1" si="5"/>
        <v>35.280155606249302</v>
      </c>
      <c r="H44" s="41" t="s">
        <v>22</v>
      </c>
      <c r="I44" s="36" t="s">
        <v>22</v>
      </c>
      <c r="J44" s="35">
        <v>36.811405606249302</v>
      </c>
      <c r="K44" s="36">
        <v>35.311405606249302</v>
      </c>
      <c r="L44" s="31">
        <f ca="1">LOOKUP(2,1/(INDIRECT("'" &amp; A44&amp; "'!A4"):INDIRECT("'" &amp; A44 &amp; "'!A300")&lt;&gt;""),INDIRECT("'" &amp; A44 &amp; "'!A4"):INDIRECT("'" &amp; A44 &amp; "'!A300"))</f>
        <v>43570</v>
      </c>
    </row>
    <row r="45" spans="1:15" x14ac:dyDescent="0.25">
      <c r="A45" s="17" t="str">
        <f t="shared" si="1"/>
        <v>Trode (40)</v>
      </c>
      <c r="B45" s="25">
        <f ca="1">LOOKUP(2,1/(INDIRECT("'" &amp; A45 &amp; "'!C4"):INDIRECT("'" &amp; A45 &amp; "'!C300")&lt;&gt;""),INDIRECT("'" &amp; A45 &amp; "'!C4"):INDIRECT("'" &amp; A45 &amp; "'!C300"))</f>
        <v>0.5</v>
      </c>
      <c r="C45" s="11">
        <f t="shared" ca="1" si="2"/>
        <v>6.25E-2</v>
      </c>
      <c r="D45" s="35" t="s">
        <v>22</v>
      </c>
      <c r="E45" s="36" t="s">
        <v>22</v>
      </c>
      <c r="F45" s="35">
        <f t="shared" ca="1" si="5"/>
        <v>36.260967679987999</v>
      </c>
      <c r="G45" s="35">
        <f t="shared" ca="1" si="5"/>
        <v>34.760967679987999</v>
      </c>
      <c r="H45" s="41" t="s">
        <v>22</v>
      </c>
      <c r="I45" s="36" t="s">
        <v>22</v>
      </c>
      <c r="J45" s="35">
        <v>36.323467679987999</v>
      </c>
      <c r="K45" s="36">
        <v>34.823467679987999</v>
      </c>
      <c r="L45" s="31">
        <f ca="1">LOOKUP(2,1/(INDIRECT("'" &amp; A45&amp; "'!A4"):INDIRECT("'" &amp; A45 &amp; "'!A300")&lt;&gt;""),INDIRECT("'" &amp; A45 &amp; "'!A4"):INDIRECT("'" &amp; A45 &amp; "'!A300"))</f>
        <v>43572</v>
      </c>
      <c r="O45" s="27"/>
    </row>
    <row r="46" spans="1:15" x14ac:dyDescent="0.25">
      <c r="A46" s="17" t="str">
        <f t="shared" si="1"/>
        <v>Trode (41)</v>
      </c>
      <c r="B46" s="25">
        <f ca="1">LOOKUP(2,1/(INDIRECT("'" &amp; A46 &amp; "'!C4"):INDIRECT("'" &amp; A46 &amp; "'!C300")&lt;&gt;""),INDIRECT("'" &amp; A46 &amp; "'!C4"):INDIRECT("'" &amp; A46 &amp; "'!C300"))</f>
        <v>0.5</v>
      </c>
      <c r="C46" s="11">
        <f t="shared" ca="1" si="2"/>
        <v>6.25E-2</v>
      </c>
      <c r="D46" s="35">
        <f t="shared" ca="1" si="0"/>
        <v>34.396210606432803</v>
      </c>
      <c r="E46" s="36">
        <f t="shared" ca="1" si="0"/>
        <v>32.896210606432803</v>
      </c>
      <c r="F46" s="35">
        <f t="shared" ca="1" si="5"/>
        <v>38.019827150467101</v>
      </c>
      <c r="G46" s="35">
        <f t="shared" ca="1" si="5"/>
        <v>36.519827150467101</v>
      </c>
      <c r="H46" s="41">
        <v>34.458710606432803</v>
      </c>
      <c r="I46" s="36">
        <v>32.958710606432803</v>
      </c>
      <c r="J46" s="35">
        <v>38.082327150467101</v>
      </c>
      <c r="K46" s="36">
        <v>36.582327150467101</v>
      </c>
      <c r="L46" s="31">
        <f ca="1">LOOKUP(2,1/(INDIRECT("'" &amp; A46&amp; "'!A4"):INDIRECT("'" &amp; A46 &amp; "'!A300")&lt;&gt;""),INDIRECT("'" &amp; A46 &amp; "'!A4"):INDIRECT("'" &amp; A46 &amp; "'!A300"))</f>
        <v>43572</v>
      </c>
    </row>
    <row r="47" spans="1:15" x14ac:dyDescent="0.25">
      <c r="A47" s="17" t="str">
        <f t="shared" si="1"/>
        <v>Trode (42)</v>
      </c>
      <c r="B47" s="25">
        <f ca="1">LOOKUP(2,1/(INDIRECT("'" &amp; A47 &amp; "'!C4"):INDIRECT("'" &amp; A47 &amp; "'!C300")&lt;&gt;""),INDIRECT("'" &amp; A47 &amp; "'!C4"):INDIRECT("'" &amp; A47 &amp; "'!C300"))</f>
        <v>0.5</v>
      </c>
      <c r="C47" s="11">
        <f t="shared" ca="1" si="2"/>
        <v>6.25E-2</v>
      </c>
      <c r="D47" s="35">
        <f t="shared" ca="1" si="0"/>
        <v>32.7896775117229</v>
      </c>
      <c r="E47" s="36">
        <f t="shared" ca="1" si="0"/>
        <v>31.2896775117229</v>
      </c>
      <c r="F47" s="35">
        <f t="shared" ca="1" si="5"/>
        <v>38.548230722758099</v>
      </c>
      <c r="G47" s="35">
        <f t="shared" ca="1" si="5"/>
        <v>37.048230722758099</v>
      </c>
      <c r="H47" s="41">
        <v>32.8521775117229</v>
      </c>
      <c r="I47" s="36">
        <v>31.3521775117229</v>
      </c>
      <c r="J47" s="35">
        <v>38.610730722758099</v>
      </c>
      <c r="K47" s="36">
        <v>37.110730722758099</v>
      </c>
      <c r="L47" s="31">
        <f ca="1">LOOKUP(2,1/(INDIRECT("'" &amp; A47&amp; "'!A4"):INDIRECT("'" &amp; A47 &amp; "'!A300")&lt;&gt;""),INDIRECT("'" &amp; A47 &amp; "'!A4"):INDIRECT("'" &amp; A47 &amp; "'!A300"))</f>
        <v>43572</v>
      </c>
    </row>
    <row r="48" spans="1:15" x14ac:dyDescent="0.25">
      <c r="A48" s="17" t="str">
        <f t="shared" si="1"/>
        <v>Trode (43)</v>
      </c>
      <c r="B48" s="25">
        <f ca="1">LOOKUP(2,1/(INDIRECT("'" &amp; A48 &amp; "'!C4"):INDIRECT("'" &amp; A48 &amp; "'!C300")&lt;&gt;""),INDIRECT("'" &amp; A48 &amp; "'!C4"):INDIRECT("'" &amp; A48 &amp; "'!C300"))</f>
        <v>0.5</v>
      </c>
      <c r="C48" s="11">
        <f t="shared" ca="1" si="2"/>
        <v>6.25E-2</v>
      </c>
      <c r="D48" s="35">
        <f t="shared" ca="1" si="0"/>
        <v>31.920584244703701</v>
      </c>
      <c r="E48" s="36">
        <f t="shared" ca="1" si="0"/>
        <v>30.420584244703701</v>
      </c>
      <c r="F48" s="35">
        <f t="shared" ca="1" si="5"/>
        <v>38.750892491718702</v>
      </c>
      <c r="G48" s="35">
        <f t="shared" ca="1" si="5"/>
        <v>37.250892491718702</v>
      </c>
      <c r="H48" s="41">
        <v>31.983084244703701</v>
      </c>
      <c r="I48" s="36">
        <v>30.483084244703701</v>
      </c>
      <c r="J48" s="35">
        <v>38.813392491718702</v>
      </c>
      <c r="K48" s="36">
        <v>37.313392491718702</v>
      </c>
      <c r="L48" s="31">
        <f ca="1">LOOKUP(2,1/(INDIRECT("'" &amp; A48&amp; "'!A4"):INDIRECT("'" &amp; A48 &amp; "'!A300")&lt;&gt;""),INDIRECT("'" &amp; A48 &amp; "'!A4"):INDIRECT("'" &amp; A48 &amp; "'!A300"))</f>
        <v>43418</v>
      </c>
    </row>
    <row r="49" spans="1:12" x14ac:dyDescent="0.25">
      <c r="A49" s="17" t="str">
        <f t="shared" si="1"/>
        <v>Trode (44)</v>
      </c>
      <c r="B49" s="25">
        <f ca="1">LOOKUP(2,1/(INDIRECT("'" &amp; A49 &amp; "'!C4"):INDIRECT("'" &amp; A49 &amp; "'!C300")&lt;&gt;""),INDIRECT("'" &amp; A49 &amp; "'!C4"):INDIRECT("'" &amp; A49 &amp; "'!C300"))</f>
        <v>0.5</v>
      </c>
      <c r="C49" s="11">
        <f t="shared" ca="1" si="2"/>
        <v>6.25E-2</v>
      </c>
      <c r="D49" s="35">
        <f t="shared" ca="1" si="0"/>
        <v>31.711266599843398</v>
      </c>
      <c r="E49" s="36">
        <f t="shared" ca="1" si="0"/>
        <v>30.211266599843398</v>
      </c>
      <c r="F49" s="35" t="s">
        <v>22</v>
      </c>
      <c r="G49" s="35" t="s">
        <v>22</v>
      </c>
      <c r="H49" s="41">
        <v>31.773766599843398</v>
      </c>
      <c r="I49" s="36">
        <v>30.273766599843398</v>
      </c>
      <c r="J49" s="35" t="s">
        <v>22</v>
      </c>
      <c r="K49" s="36" t="s">
        <v>22</v>
      </c>
      <c r="L49" s="31">
        <f ca="1">LOOKUP(2,1/(INDIRECT("'" &amp; A49&amp; "'!A4"):INDIRECT("'" &amp; A49 &amp; "'!A300")&lt;&gt;""),INDIRECT("'" &amp; A49 &amp; "'!A4"):INDIRECT("'" &amp; A49 &amp; "'!A300"))</f>
        <v>43572</v>
      </c>
    </row>
    <row r="50" spans="1:12" x14ac:dyDescent="0.25">
      <c r="A50" s="17" t="str">
        <f t="shared" si="1"/>
        <v>Trode (45)</v>
      </c>
      <c r="B50" s="25">
        <f ca="1">LOOKUP(2,1/(INDIRECT("'" &amp; A50 &amp; "'!C4"):INDIRECT("'" &amp; A50 &amp; "'!C300")&lt;&gt;""),INDIRECT("'" &amp; A50 &amp; "'!C4"):INDIRECT("'" &amp; A50 &amp; "'!C300"))</f>
        <v>0.5</v>
      </c>
      <c r="C50" s="11">
        <f t="shared" ca="1" si="2"/>
        <v>6.25E-2</v>
      </c>
      <c r="D50" s="35">
        <f t="shared" ca="1" si="0"/>
        <v>31.654212739537801</v>
      </c>
      <c r="E50" s="36">
        <f t="shared" ca="1" si="0"/>
        <v>30.154212739537801</v>
      </c>
      <c r="F50" s="35" t="s">
        <v>22</v>
      </c>
      <c r="G50" s="35" t="s">
        <v>22</v>
      </c>
      <c r="H50" s="41">
        <v>31.716712739537801</v>
      </c>
      <c r="I50" s="36">
        <v>30.216712739537801</v>
      </c>
      <c r="J50" s="35" t="s">
        <v>22</v>
      </c>
      <c r="K50" s="36" t="s">
        <v>22</v>
      </c>
      <c r="L50" s="31">
        <f ca="1">LOOKUP(2,1/(INDIRECT("'" &amp; A50&amp; "'!A4"):INDIRECT("'" &amp; A50 &amp; "'!A300")&lt;&gt;""),INDIRECT("'" &amp; A50 &amp; "'!A4"):INDIRECT("'" &amp; A50 &amp; "'!A300"))</f>
        <v>43572</v>
      </c>
    </row>
    <row r="51" spans="1:12" x14ac:dyDescent="0.25">
      <c r="A51" s="17" t="str">
        <f t="shared" si="1"/>
        <v>Trode (46)</v>
      </c>
      <c r="B51" s="25">
        <f ca="1">LOOKUP(2,1/(INDIRECT("'" &amp; A51 &amp; "'!C4"):INDIRECT("'" &amp; A51 &amp; "'!C300")&lt;&gt;""),INDIRECT("'" &amp; A51 &amp; "'!C4"):INDIRECT("'" &amp; A51 &amp; "'!C300"))</f>
        <v>0.5</v>
      </c>
      <c r="C51" s="11">
        <f t="shared" ca="1" si="2"/>
        <v>6.25E-2</v>
      </c>
      <c r="D51" s="35" t="s">
        <v>22</v>
      </c>
      <c r="E51" s="36" t="s">
        <v>22</v>
      </c>
      <c r="F51" s="35">
        <f t="shared" ref="F51:G57" ca="1" si="6">J51-$C51</f>
        <v>38.403872578988803</v>
      </c>
      <c r="G51" s="35">
        <f t="shared" ca="1" si="6"/>
        <v>36.903872578988803</v>
      </c>
      <c r="H51" s="41" t="s">
        <v>22</v>
      </c>
      <c r="I51" s="36" t="s">
        <v>22</v>
      </c>
      <c r="J51" s="35">
        <v>38.466372578988803</v>
      </c>
      <c r="K51" s="36">
        <v>36.966372578988803</v>
      </c>
      <c r="L51" s="31">
        <f ca="1">LOOKUP(2,1/(INDIRECT("'" &amp; A51&amp; "'!A4"):INDIRECT("'" &amp; A51 &amp; "'!A300")&lt;&gt;""),INDIRECT("'" &amp; A51 &amp; "'!A4"):INDIRECT("'" &amp; A51 &amp; "'!A300"))</f>
        <v>43572</v>
      </c>
    </row>
    <row r="52" spans="1:12" x14ac:dyDescent="0.25">
      <c r="A52" s="17" t="str">
        <f t="shared" si="1"/>
        <v>Trode (47)</v>
      </c>
      <c r="B52" s="25">
        <f ca="1">LOOKUP(2,1/(INDIRECT("'" &amp; A52 &amp; "'!C4"):INDIRECT("'" &amp; A52 &amp; "'!C300")&lt;&gt;""),INDIRECT("'" &amp; A52 &amp; "'!C4"):INDIRECT("'" &amp; A52 &amp; "'!C300"))</f>
        <v>0.25</v>
      </c>
      <c r="C52" s="11">
        <f t="shared" ca="1" si="2"/>
        <v>3.125E-2</v>
      </c>
      <c r="D52" s="35">
        <f t="shared" ca="1" si="0"/>
        <v>37.801172482602702</v>
      </c>
      <c r="E52" s="36">
        <f t="shared" ca="1" si="0"/>
        <v>36.301172482602702</v>
      </c>
      <c r="F52" s="35">
        <f t="shared" ca="1" si="6"/>
        <v>37.929222080198201</v>
      </c>
      <c r="G52" s="35">
        <f t="shared" ca="1" si="6"/>
        <v>36.429222080198201</v>
      </c>
      <c r="H52" s="41">
        <v>37.832422482602702</v>
      </c>
      <c r="I52" s="36">
        <v>36.332422482602702</v>
      </c>
      <c r="J52" s="35">
        <v>37.960472080198201</v>
      </c>
      <c r="K52" s="36">
        <v>36.460472080198201</v>
      </c>
      <c r="L52" s="31">
        <f ca="1">LOOKUP(2,1/(INDIRECT("'" &amp; A52&amp; "'!A4"):INDIRECT("'" &amp; A52 &amp; "'!A300")&lt;&gt;""),INDIRECT("'" &amp; A52 &amp; "'!A4"):INDIRECT("'" &amp; A52 &amp; "'!A300"))</f>
        <v>43572</v>
      </c>
    </row>
    <row r="53" spans="1:12" x14ac:dyDescent="0.25">
      <c r="A53" s="17" t="str">
        <f t="shared" si="1"/>
        <v>Trode (48)</v>
      </c>
      <c r="B53" s="25">
        <f ca="1">LOOKUP(2,1/(INDIRECT("'" &amp; A53 &amp; "'!C4"):INDIRECT("'" &amp; A53 &amp; "'!C300")&lt;&gt;""),INDIRECT("'" &amp; A53 &amp; "'!C4"):INDIRECT("'" &amp; A53 &amp; "'!C300"))</f>
        <v>0.25</v>
      </c>
      <c r="C53" s="11">
        <f t="shared" ca="1" si="2"/>
        <v>3.125E-2</v>
      </c>
      <c r="D53" s="35">
        <f t="shared" ca="1" si="0"/>
        <v>36.593451433623898</v>
      </c>
      <c r="E53" s="36">
        <f t="shared" ca="1" si="0"/>
        <v>35.093451433623898</v>
      </c>
      <c r="F53" s="35">
        <f t="shared" ca="1" si="6"/>
        <v>37.626281828085098</v>
      </c>
      <c r="G53" s="35">
        <f t="shared" ca="1" si="6"/>
        <v>36.126281828085098</v>
      </c>
      <c r="H53" s="41">
        <v>36.624701433623898</v>
      </c>
      <c r="I53" s="36">
        <v>35.124701433623898</v>
      </c>
      <c r="J53" s="35">
        <v>37.657531828085098</v>
      </c>
      <c r="K53" s="36">
        <v>36.157531828085098</v>
      </c>
      <c r="L53" s="31">
        <f ca="1">LOOKUP(2,1/(INDIRECT("'" &amp; A53&amp; "'!A4"):INDIRECT("'" &amp; A53 &amp; "'!A300")&lt;&gt;""),INDIRECT("'" &amp; A53 &amp; "'!A4"):INDIRECT("'" &amp; A53 &amp; "'!A300"))</f>
        <v>43572</v>
      </c>
    </row>
    <row r="54" spans="1:12" x14ac:dyDescent="0.25">
      <c r="A54" s="17" t="str">
        <f t="shared" si="1"/>
        <v>Trode (49)</v>
      </c>
      <c r="B54" s="25">
        <f ca="1">LOOKUP(2,1/(INDIRECT("'" &amp; A54 &amp; "'!C4"):INDIRECT("'" &amp; A54 &amp; "'!C300")&lt;&gt;""),INDIRECT("'" &amp; A54 &amp; "'!C4"):INDIRECT("'" &amp; A54 &amp; "'!C300"))</f>
        <v>0.25</v>
      </c>
      <c r="C54" s="11">
        <f t="shared" ca="1" si="2"/>
        <v>3.125E-2</v>
      </c>
      <c r="D54" s="35">
        <f t="shared" ca="1" si="0"/>
        <v>35.0589715679059</v>
      </c>
      <c r="E54" s="36">
        <f t="shared" ca="1" si="0"/>
        <v>33.5589715679059</v>
      </c>
      <c r="F54" s="35">
        <f t="shared" ca="1" si="6"/>
        <v>39.097181357905797</v>
      </c>
      <c r="G54" s="35">
        <f t="shared" ca="1" si="6"/>
        <v>37.597181357905797</v>
      </c>
      <c r="H54" s="41">
        <v>35.0902215679059</v>
      </c>
      <c r="I54" s="36">
        <v>33.5902215679059</v>
      </c>
      <c r="J54" s="35">
        <v>39.128431357905797</v>
      </c>
      <c r="K54" s="36">
        <v>37.628431357905797</v>
      </c>
      <c r="L54" s="31">
        <f ca="1">LOOKUP(2,1/(INDIRECT("'" &amp; A54&amp; "'!A4"):INDIRECT("'" &amp; A54 &amp; "'!A300")&lt;&gt;""),INDIRECT("'" &amp; A54 &amp; "'!A4"):INDIRECT("'" &amp; A54 &amp; "'!A300"))</f>
        <v>43513</v>
      </c>
    </row>
    <row r="55" spans="1:12" x14ac:dyDescent="0.25">
      <c r="A55" s="17" t="str">
        <f t="shared" si="1"/>
        <v>Trode (50)</v>
      </c>
      <c r="B55" s="25">
        <f ca="1">LOOKUP(2,1/(INDIRECT("'" &amp; A55 &amp; "'!C4"):INDIRECT("'" &amp; A55 &amp; "'!C300")&lt;&gt;""),INDIRECT("'" &amp; A55 &amp; "'!C4"):INDIRECT("'" &amp; A55 &amp; "'!C300"))</f>
        <v>0.25</v>
      </c>
      <c r="C55" s="11">
        <f t="shared" ca="1" si="2"/>
        <v>3.125E-2</v>
      </c>
      <c r="D55" s="35">
        <f t="shared" ca="1" si="0"/>
        <v>33.3785661273904</v>
      </c>
      <c r="E55" s="36">
        <f t="shared" ca="1" si="0"/>
        <v>31.8785661273904</v>
      </c>
      <c r="F55" s="35">
        <f t="shared" ca="1" si="6"/>
        <v>39.447820869254997</v>
      </c>
      <c r="G55" s="35">
        <f t="shared" ca="1" si="6"/>
        <v>37.947820869254997</v>
      </c>
      <c r="H55" s="41">
        <v>33.4098161273904</v>
      </c>
      <c r="I55" s="36">
        <v>31.9098161273904</v>
      </c>
      <c r="J55" s="35">
        <v>39.479070869254997</v>
      </c>
      <c r="K55" s="36">
        <v>37.979070869254997</v>
      </c>
      <c r="L55" s="31">
        <f ca="1">LOOKUP(2,1/(INDIRECT("'" &amp; A55&amp; "'!A4"):INDIRECT("'" &amp; A55 &amp; "'!A300")&lt;&gt;""),INDIRECT("'" &amp; A55 &amp; "'!A4"):INDIRECT("'" &amp; A55 &amp; "'!A300"))</f>
        <v>43572</v>
      </c>
    </row>
    <row r="56" spans="1:12" x14ac:dyDescent="0.25">
      <c r="A56" s="17" t="str">
        <f t="shared" si="1"/>
        <v>Trode (51)</v>
      </c>
      <c r="B56" s="25">
        <f ca="1">LOOKUP(2,1/(INDIRECT("'" &amp; A56 &amp; "'!C4"):INDIRECT("'" &amp; A56 &amp; "'!C300")&lt;&gt;""),INDIRECT("'" &amp; A56 &amp; "'!C4"):INDIRECT("'" &amp; A56 &amp; "'!C300"))</f>
        <v>0.25</v>
      </c>
      <c r="C56" s="11">
        <f t="shared" ca="1" si="2"/>
        <v>3.125E-2</v>
      </c>
      <c r="D56" s="35">
        <f t="shared" ca="1" si="0"/>
        <v>32.587706818897097</v>
      </c>
      <c r="E56" s="36">
        <f t="shared" ca="1" si="0"/>
        <v>31.0877068188971</v>
      </c>
      <c r="F56" s="35">
        <f t="shared" ca="1" si="6"/>
        <v>39.437057201579002</v>
      </c>
      <c r="G56" s="35">
        <f t="shared" ca="1" si="6"/>
        <v>37.937057201579002</v>
      </c>
      <c r="H56" s="41">
        <v>32.618956818897097</v>
      </c>
      <c r="I56" s="36">
        <v>31.1189568188971</v>
      </c>
      <c r="J56" s="35">
        <v>39.468307201579002</v>
      </c>
      <c r="K56" s="36">
        <v>37.968307201579002</v>
      </c>
      <c r="L56" s="31">
        <f ca="1">LOOKUP(2,1/(INDIRECT("'" &amp; A56&amp; "'!A4"):INDIRECT("'" &amp; A56 &amp; "'!A300")&lt;&gt;""),INDIRECT("'" &amp; A56 &amp; "'!A4"):INDIRECT("'" &amp; A56 &amp; "'!A300"))</f>
        <v>43572</v>
      </c>
    </row>
    <row r="57" spans="1:12" x14ac:dyDescent="0.25">
      <c r="A57" s="17" t="str">
        <f t="shared" si="1"/>
        <v>Trode (52)</v>
      </c>
      <c r="B57" s="25">
        <f ca="1">LOOKUP(2,1/(INDIRECT("'" &amp; A57 &amp; "'!C4"):INDIRECT("'" &amp; A57 &amp; "'!C300")&lt;&gt;""),INDIRECT("'" &amp; A57 &amp; "'!C4"):INDIRECT("'" &amp; A57 &amp; "'!C300"))</f>
        <v>0.25</v>
      </c>
      <c r="C57" s="11">
        <f t="shared" ca="1" si="2"/>
        <v>3.125E-2</v>
      </c>
      <c r="D57" s="35">
        <f t="shared" ca="1" si="0"/>
        <v>32.125507657793698</v>
      </c>
      <c r="E57" s="36">
        <f t="shared" ca="1" si="0"/>
        <v>30.625507657793701</v>
      </c>
      <c r="F57" s="35">
        <f t="shared" ca="1" si="6"/>
        <v>39.922730534194997</v>
      </c>
      <c r="G57" s="35">
        <f t="shared" ca="1" si="6"/>
        <v>38.422730534194997</v>
      </c>
      <c r="H57" s="41">
        <v>32.156757657793698</v>
      </c>
      <c r="I57" s="36">
        <v>30.656757657793701</v>
      </c>
      <c r="J57" s="35">
        <v>39.953980534194997</v>
      </c>
      <c r="K57" s="36">
        <v>38.453980534194997</v>
      </c>
      <c r="L57" s="31">
        <f ca="1">LOOKUP(2,1/(INDIRECT("'" &amp; A57&amp; "'!A4"):INDIRECT("'" &amp; A57 &amp; "'!A300")&lt;&gt;""),INDIRECT("'" &amp; A57 &amp; "'!A4"):INDIRECT("'" &amp; A57 &amp; "'!A300"))</f>
        <v>43572</v>
      </c>
    </row>
    <row r="58" spans="1:12" x14ac:dyDescent="0.25">
      <c r="A58" s="17" t="str">
        <f t="shared" si="1"/>
        <v>Trode (53)</v>
      </c>
      <c r="B58" s="25">
        <f ca="1">LOOKUP(2,1/(INDIRECT("'" &amp; A58 &amp; "'!C4"):INDIRECT("'" &amp; A58 &amp; "'!C300")&lt;&gt;""),INDIRECT("'" &amp; A58 &amp; "'!C4"):INDIRECT("'" &amp; A58 &amp; "'!C300"))</f>
        <v>0.25</v>
      </c>
      <c r="C58" s="11">
        <f t="shared" ca="1" si="2"/>
        <v>3.125E-2</v>
      </c>
      <c r="D58" s="35">
        <f t="shared" ca="1" si="0"/>
        <v>31.870010056157401</v>
      </c>
      <c r="E58" s="36">
        <f t="shared" ca="1" si="0"/>
        <v>30.370010056157401</v>
      </c>
      <c r="F58" s="35" t="s">
        <v>22</v>
      </c>
      <c r="G58" s="35" t="s">
        <v>22</v>
      </c>
      <c r="H58" s="41">
        <v>31.901260056157401</v>
      </c>
      <c r="I58" s="36">
        <v>30.401260056157401</v>
      </c>
      <c r="J58" s="35" t="s">
        <v>22</v>
      </c>
      <c r="K58" s="36" t="s">
        <v>22</v>
      </c>
      <c r="L58" s="31">
        <f ca="1">LOOKUP(2,1/(INDIRECT("'" &amp; A58&amp; "'!A4"):INDIRECT("'" &amp; A58 &amp; "'!A300")&lt;&gt;""),INDIRECT("'" &amp; A58 &amp; "'!A4"):INDIRECT("'" &amp; A58 &amp; "'!A300"))</f>
        <v>43572</v>
      </c>
    </row>
    <row r="59" spans="1:12" x14ac:dyDescent="0.25">
      <c r="A59" s="17" t="str">
        <f t="shared" si="1"/>
        <v>Trode (54)</v>
      </c>
      <c r="B59" s="25">
        <f ca="1">LOOKUP(2,1/(INDIRECT("'" &amp; A59 &amp; "'!C4"):INDIRECT("'" &amp; A59 &amp; "'!C300")&lt;&gt;""),INDIRECT("'" &amp; A59 &amp; "'!C4"):INDIRECT("'" &amp; A59 &amp; "'!C300"))</f>
        <v>0.25</v>
      </c>
      <c r="C59" s="11">
        <f t="shared" ca="1" si="2"/>
        <v>3.125E-2</v>
      </c>
      <c r="D59" s="35">
        <f t="shared" ca="1" si="0"/>
        <v>36.976754203232602</v>
      </c>
      <c r="E59" s="36">
        <f t="shared" ca="1" si="0"/>
        <v>35.476754203232602</v>
      </c>
      <c r="F59" s="35">
        <f t="shared" ca="1" si="0"/>
        <v>39.633035688748599</v>
      </c>
      <c r="G59" s="35">
        <f t="shared" ca="1" si="0"/>
        <v>38.133035688748599</v>
      </c>
      <c r="H59" s="41">
        <v>37.008004203232602</v>
      </c>
      <c r="I59" s="36">
        <v>35.508004203232602</v>
      </c>
      <c r="J59" s="35">
        <v>39.664285688748599</v>
      </c>
      <c r="K59" s="36">
        <v>38.164285688748599</v>
      </c>
      <c r="L59" s="31">
        <f ca="1">LOOKUP(2,1/(INDIRECT("'" &amp; A59&amp; "'!A4"):INDIRECT("'" &amp; A59 &amp; "'!A300")&lt;&gt;""),INDIRECT("'" &amp; A59 &amp; "'!A4"):INDIRECT("'" &amp; A59 &amp; "'!A300"))</f>
        <v>43536</v>
      </c>
    </row>
    <row r="60" spans="1:12" x14ac:dyDescent="0.25">
      <c r="A60" s="17" t="str">
        <f t="shared" si="1"/>
        <v>Trode (55)</v>
      </c>
      <c r="B60" s="25">
        <f ca="1">LOOKUP(2,1/(INDIRECT("'" &amp; A60 &amp; "'!C4"):INDIRECT("'" &amp; A60 &amp; "'!C300")&lt;&gt;""),INDIRECT("'" &amp; A60 &amp; "'!C4"):INDIRECT("'" &amp; A60 &amp; "'!C300"))</f>
        <v>0.5</v>
      </c>
      <c r="C60" s="11">
        <f t="shared" ca="1" si="2"/>
        <v>6.25E-2</v>
      </c>
      <c r="D60" s="35">
        <f t="shared" ca="1" si="0"/>
        <v>36.164431105253499</v>
      </c>
      <c r="E60" s="36">
        <f t="shared" ca="1" si="0"/>
        <v>34.664431105253499</v>
      </c>
      <c r="F60" s="35">
        <f t="shared" ca="1" si="0"/>
        <v>39.6986433161562</v>
      </c>
      <c r="G60" s="35">
        <f t="shared" ca="1" si="0"/>
        <v>38.1986433161562</v>
      </c>
      <c r="H60" s="41">
        <v>36.226931105253499</v>
      </c>
      <c r="I60" s="36">
        <v>34.726931105253499</v>
      </c>
      <c r="J60" s="35">
        <v>39.7611433161562</v>
      </c>
      <c r="K60" s="36">
        <v>38.2611433161562</v>
      </c>
      <c r="L60" s="31">
        <f ca="1">LOOKUP(2,1/(INDIRECT("'" &amp; A60&amp; "'!A4"):INDIRECT("'" &amp; A60 &amp; "'!A300")&lt;&gt;""),INDIRECT("'" &amp; A60 &amp; "'!A4"):INDIRECT("'" &amp; A60 &amp; "'!A300"))</f>
        <v>43572</v>
      </c>
    </row>
    <row r="61" spans="1:12" x14ac:dyDescent="0.25">
      <c r="A61" s="17" t="str">
        <f t="shared" si="1"/>
        <v>Trode (56)</v>
      </c>
      <c r="B61" s="25">
        <f ca="1">LOOKUP(2,1/(INDIRECT("'" &amp; A61 &amp; "'!C4"):INDIRECT("'" &amp; A61 &amp; "'!C300")&lt;&gt;""),INDIRECT("'" &amp; A61 &amp; "'!C4"):INDIRECT("'" &amp; A61 &amp; "'!C300"))</f>
        <v>0.5</v>
      </c>
      <c r="C61" s="11">
        <f t="shared" ca="1" si="2"/>
        <v>6.25E-2</v>
      </c>
      <c r="D61" s="35">
        <f t="shared" ca="1" si="0"/>
        <v>35.606685920536698</v>
      </c>
      <c r="E61" s="36">
        <f t="shared" ca="1" si="0"/>
        <v>34.106685920536698</v>
      </c>
      <c r="F61" s="35">
        <f t="shared" ca="1" si="0"/>
        <v>39.451379208770902</v>
      </c>
      <c r="G61" s="35">
        <f t="shared" ca="1" si="0"/>
        <v>37.951379208770902</v>
      </c>
      <c r="H61" s="41">
        <v>35.669185920536698</v>
      </c>
      <c r="I61" s="36">
        <v>34.169185920536698</v>
      </c>
      <c r="J61" s="35">
        <v>39.513879208770902</v>
      </c>
      <c r="K61" s="36">
        <v>38.013879208770902</v>
      </c>
      <c r="L61" s="31">
        <f ca="1">LOOKUP(2,1/(INDIRECT("'" &amp; A61&amp; "'!A4"):INDIRECT("'" &amp; A61 &amp; "'!A300")&lt;&gt;""),INDIRECT("'" &amp; A61 &amp; "'!A4"):INDIRECT("'" &amp; A61 &amp; "'!A300"))</f>
        <v>43370</v>
      </c>
    </row>
    <row r="62" spans="1:12" x14ac:dyDescent="0.25">
      <c r="A62" s="17" t="str">
        <f t="shared" si="1"/>
        <v>Trode (57)</v>
      </c>
      <c r="B62" s="25">
        <f ca="1">LOOKUP(2,1/(INDIRECT("'" &amp; A62 &amp; "'!C4"):INDIRECT("'" &amp; A62 &amp; "'!C300")&lt;&gt;""),INDIRECT("'" &amp; A62 &amp; "'!C4"):INDIRECT("'" &amp; A62 &amp; "'!C300"))</f>
        <v>0.5</v>
      </c>
      <c r="C62" s="11">
        <f t="shared" ca="1" si="2"/>
        <v>6.25E-2</v>
      </c>
      <c r="D62" s="35">
        <f t="shared" ca="1" si="0"/>
        <v>34.737839656400403</v>
      </c>
      <c r="E62" s="36">
        <f t="shared" ca="1" si="0"/>
        <v>33.237839656400403</v>
      </c>
      <c r="F62" s="35">
        <f t="shared" ca="1" si="0"/>
        <v>40.118825719625001</v>
      </c>
      <c r="G62" s="35">
        <f t="shared" ca="1" si="0"/>
        <v>38.618825719625001</v>
      </c>
      <c r="H62" s="41">
        <v>34.800339656400403</v>
      </c>
      <c r="I62" s="36">
        <v>33.300339656400403</v>
      </c>
      <c r="J62" s="35">
        <v>40.181325719625001</v>
      </c>
      <c r="K62" s="36">
        <v>38.681325719625001</v>
      </c>
      <c r="L62" s="31">
        <f ca="1">LOOKUP(2,1/(INDIRECT("'" &amp; A62&amp; "'!A4"):INDIRECT("'" &amp; A62 &amp; "'!A300")&lt;&gt;""),INDIRECT("'" &amp; A62 &amp; "'!A4"):INDIRECT("'" &amp; A62 &amp; "'!A300"))</f>
        <v>43572</v>
      </c>
    </row>
    <row r="63" spans="1:12" x14ac:dyDescent="0.25">
      <c r="A63" s="17" t="str">
        <f t="shared" si="1"/>
        <v>Trode (58)</v>
      </c>
      <c r="B63" s="25">
        <f ca="1">LOOKUP(2,1/(INDIRECT("'" &amp; A63 &amp; "'!C4"):INDIRECT("'" &amp; A63 &amp; "'!C300")&lt;&gt;""),INDIRECT("'" &amp; A63 &amp; "'!C4"):INDIRECT("'" &amp; A63 &amp; "'!C300"))</f>
        <v>0.25</v>
      </c>
      <c r="C63" s="11">
        <f t="shared" ca="1" si="2"/>
        <v>3.125E-2</v>
      </c>
      <c r="D63" s="35">
        <f t="shared" ca="1" si="0"/>
        <v>33.8363989441619</v>
      </c>
      <c r="E63" s="36">
        <f t="shared" ca="1" si="0"/>
        <v>32.3363989441619</v>
      </c>
      <c r="F63" s="35">
        <f t="shared" ca="1" si="0"/>
        <v>40.114256944023801</v>
      </c>
      <c r="G63" s="35">
        <f t="shared" ca="1" si="0"/>
        <v>38.614256944023801</v>
      </c>
      <c r="H63" s="41">
        <v>33.8676489441619</v>
      </c>
      <c r="I63" s="36">
        <v>32.3676489441619</v>
      </c>
      <c r="J63" s="35">
        <v>40.145506944023801</v>
      </c>
      <c r="K63" s="36">
        <v>38.645506944023801</v>
      </c>
      <c r="L63" s="31">
        <f ca="1">LOOKUP(2,1/(INDIRECT("'" &amp; A63&amp; "'!A4"):INDIRECT("'" &amp; A63 &amp; "'!A300")&lt;&gt;""),INDIRECT("'" &amp; A63 &amp; "'!A4"):INDIRECT("'" &amp; A63 &amp; "'!A300"))</f>
        <v>43572</v>
      </c>
    </row>
    <row r="64" spans="1:12" x14ac:dyDescent="0.25">
      <c r="A64" s="17" t="str">
        <f t="shared" si="1"/>
        <v>Trode (59)</v>
      </c>
      <c r="B64" s="25">
        <f ca="1">LOOKUP(2,1/(INDIRECT("'" &amp; A64 &amp; "'!C4"):INDIRECT("'" &amp; A64 &amp; "'!C300")&lt;&gt;""),INDIRECT("'" &amp; A64 &amp; "'!C4"):INDIRECT("'" &amp; A64 &amp; "'!C300"))</f>
        <v>0.25</v>
      </c>
      <c r="C64" s="11">
        <f t="shared" ca="1" si="2"/>
        <v>3.125E-2</v>
      </c>
      <c r="D64" s="35">
        <f t="shared" ca="1" si="0"/>
        <v>33.025446755941097</v>
      </c>
      <c r="E64" s="36">
        <f t="shared" ca="1" si="0"/>
        <v>31.5254467559411</v>
      </c>
      <c r="F64" s="35">
        <f t="shared" ca="1" si="0"/>
        <v>39.7515887052881</v>
      </c>
      <c r="G64" s="35">
        <f t="shared" ca="1" si="0"/>
        <v>38.2515887052881</v>
      </c>
      <c r="H64" s="41">
        <v>33.056696755941097</v>
      </c>
      <c r="I64" s="36">
        <v>31.5566967559411</v>
      </c>
      <c r="J64" s="35">
        <v>39.7828387052881</v>
      </c>
      <c r="K64" s="36">
        <v>38.2828387052881</v>
      </c>
      <c r="L64" s="31">
        <f ca="1">LOOKUP(2,1/(INDIRECT("'" &amp; A64&amp; "'!A4"):INDIRECT("'" &amp; A64 &amp; "'!A300")&lt;&gt;""),INDIRECT("'" &amp; A64 &amp; "'!A4"):INDIRECT("'" &amp; A64 &amp; "'!A300"))</f>
        <v>43572</v>
      </c>
    </row>
    <row r="65" spans="1:12" x14ac:dyDescent="0.25">
      <c r="A65" s="17" t="str">
        <f t="shared" si="1"/>
        <v>Trode (60)</v>
      </c>
      <c r="B65" s="25">
        <f ca="1">LOOKUP(2,1/(INDIRECT("'" &amp; A65 &amp; "'!C4"):INDIRECT("'" &amp; A65 &amp; "'!C300")&lt;&gt;""),INDIRECT("'" &amp; A65 &amp; "'!C4"):INDIRECT("'" &amp; A65 &amp; "'!C300"))</f>
        <v>0.25</v>
      </c>
      <c r="C65" s="11">
        <f t="shared" ca="1" si="2"/>
        <v>3.125E-2</v>
      </c>
      <c r="D65" s="35">
        <f t="shared" ca="1" si="0"/>
        <v>33.189417860196002</v>
      </c>
      <c r="E65" s="36">
        <f t="shared" ca="1" si="0"/>
        <v>31.689417860195999</v>
      </c>
      <c r="F65" s="35" t="s">
        <v>22</v>
      </c>
      <c r="G65" s="35" t="s">
        <v>22</v>
      </c>
      <c r="H65" s="41">
        <v>33.220667860196002</v>
      </c>
      <c r="I65" s="36">
        <v>31.720667860195999</v>
      </c>
      <c r="J65" s="35" t="s">
        <v>22</v>
      </c>
      <c r="K65" s="36" t="s">
        <v>22</v>
      </c>
      <c r="L65" s="31">
        <f ca="1">LOOKUP(2,1/(INDIRECT("'" &amp; A65&amp; "'!A4"):INDIRECT("'" &amp; A65 &amp; "'!A300")&lt;&gt;""),INDIRECT("'" &amp; A65 &amp; "'!A4"):INDIRECT("'" &amp; A65 &amp; "'!A300"))</f>
        <v>43572</v>
      </c>
    </row>
    <row r="66" spans="1:12" x14ac:dyDescent="0.25">
      <c r="A66" s="17" t="str">
        <f t="shared" si="1"/>
        <v>Trode (61)</v>
      </c>
      <c r="B66" s="25">
        <f ca="1">LOOKUP(2,1/(INDIRECT("'" &amp; A66 &amp; "'!C4"):INDIRECT("'" &amp; A66 &amp; "'!C300")&lt;&gt;""),INDIRECT("'" &amp; A66 &amp; "'!C4"):INDIRECT("'" &amp; A66 &amp; "'!C300"))</f>
        <v>0.25</v>
      </c>
      <c r="C66" s="11">
        <f t="shared" ca="1" si="2"/>
        <v>3.125E-2</v>
      </c>
      <c r="D66" s="35" t="s">
        <v>22</v>
      </c>
      <c r="E66" s="36" t="s">
        <v>22</v>
      </c>
      <c r="F66" s="35" t="s">
        <v>22</v>
      </c>
      <c r="G66" s="35" t="s">
        <v>22</v>
      </c>
      <c r="H66" s="41" t="s">
        <v>22</v>
      </c>
      <c r="I66" s="36" t="s">
        <v>22</v>
      </c>
      <c r="J66" s="35" t="s">
        <v>22</v>
      </c>
      <c r="K66" s="36" t="s">
        <v>22</v>
      </c>
      <c r="L66" s="31">
        <f ca="1">LOOKUP(2,1/(INDIRECT("'" &amp; A66&amp; "'!A4"):INDIRECT("'" &amp; A66 &amp; "'!A300")&lt;&gt;""),INDIRECT("'" &amp; A66 &amp; "'!A4"):INDIRECT("'" &amp; A66 &amp; "'!A300"))</f>
        <v>43513</v>
      </c>
    </row>
    <row r="67" spans="1:12" x14ac:dyDescent="0.25">
      <c r="A67" s="17" t="str">
        <f t="shared" si="1"/>
        <v>Trode (62)</v>
      </c>
      <c r="B67" s="25">
        <f ca="1">LOOKUP(2,1/(INDIRECT("'" &amp; A67 &amp; "'!C4"):INDIRECT("'" &amp; A67 &amp; "'!C300")&lt;&gt;""),INDIRECT("'" &amp; A67 &amp; "'!C4"):INDIRECT("'" &amp; A67 &amp; "'!C300"))</f>
        <v>0.5</v>
      </c>
      <c r="C67" s="11">
        <f t="shared" ca="1" si="2"/>
        <v>6.25E-2</v>
      </c>
      <c r="D67" s="35">
        <f t="shared" ca="1" si="0"/>
        <v>36.351081472503999</v>
      </c>
      <c r="E67" s="36">
        <f t="shared" ca="1" si="0"/>
        <v>34.851081472503999</v>
      </c>
      <c r="F67" s="35">
        <f t="shared" ca="1" si="0"/>
        <v>40.284947184931497</v>
      </c>
      <c r="G67" s="35">
        <f t="shared" ca="1" si="0"/>
        <v>38.784947184931497</v>
      </c>
      <c r="H67" s="41">
        <v>36.413581472503999</v>
      </c>
      <c r="I67" s="36">
        <v>34.913581472503999</v>
      </c>
      <c r="J67" s="35">
        <v>40.347447184931497</v>
      </c>
      <c r="K67" s="36">
        <v>38.847447184931497</v>
      </c>
      <c r="L67" s="31">
        <f ca="1">LOOKUP(2,1/(INDIRECT("'" &amp; A67&amp; "'!A4"):INDIRECT("'" &amp; A67 &amp; "'!A300")&lt;&gt;""),INDIRECT("'" &amp; A67 &amp; "'!A4"):INDIRECT("'" &amp; A67 &amp; "'!A300"))</f>
        <v>43572</v>
      </c>
    </row>
    <row r="68" spans="1:12" x14ac:dyDescent="0.25">
      <c r="A68" s="17" t="str">
        <f t="shared" si="1"/>
        <v>Trode (63)</v>
      </c>
      <c r="B68" s="25">
        <f ca="1">LOOKUP(2,1/(INDIRECT("'" &amp; A68 &amp; "'!C4"):INDIRECT("'" &amp; A68 &amp; "'!C300")&lt;&gt;""),INDIRECT("'" &amp; A68 &amp; "'!C4"):INDIRECT("'" &amp; A68 &amp; "'!C300"))</f>
        <v>0.5</v>
      </c>
      <c r="C68" s="11">
        <f t="shared" ca="1" si="2"/>
        <v>6.25E-2</v>
      </c>
      <c r="D68" s="35">
        <f t="shared" ca="1" si="0"/>
        <v>35.835479014186099</v>
      </c>
      <c r="E68" s="36">
        <f t="shared" ca="1" si="0"/>
        <v>34.335479014186099</v>
      </c>
      <c r="F68" s="35">
        <f t="shared" ca="1" si="0"/>
        <v>41.376473067614903</v>
      </c>
      <c r="G68" s="35">
        <f t="shared" ca="1" si="0"/>
        <v>39.876473067614903</v>
      </c>
      <c r="H68" s="41">
        <v>35.897979014186099</v>
      </c>
      <c r="I68" s="36">
        <v>34.397979014186099</v>
      </c>
      <c r="J68" s="35">
        <v>41.438973067614903</v>
      </c>
      <c r="K68" s="36">
        <v>39.938973067614903</v>
      </c>
      <c r="L68" s="31">
        <f ca="1">LOOKUP(2,1/(INDIRECT("'" &amp; A68&amp; "'!A4"):INDIRECT("'" &amp; A68 &amp; "'!A300")&lt;&gt;""),INDIRECT("'" &amp; A68 &amp; "'!A4"):INDIRECT("'" &amp; A68 &amp; "'!A300"))</f>
        <v>43572</v>
      </c>
    </row>
    <row r="69" spans="1:12" x14ac:dyDescent="0.25">
      <c r="A69" s="17" t="str">
        <f t="shared" si="1"/>
        <v>Trode (64)</v>
      </c>
      <c r="B69" s="25">
        <f ca="1">LOOKUP(2,1/(INDIRECT("'" &amp; A69 &amp; "'!C4"):INDIRECT("'" &amp; A69 &amp; "'!C300")&lt;&gt;""),INDIRECT("'" &amp; A69 &amp; "'!C4"):INDIRECT("'" &amp; A69 &amp; "'!C300"))</f>
        <v>0.5</v>
      </c>
      <c r="C69" s="11">
        <f t="shared" ca="1" si="2"/>
        <v>6.25E-2</v>
      </c>
      <c r="D69" s="35">
        <f t="shared" ca="1" si="0"/>
        <v>35.284364658557102</v>
      </c>
      <c r="E69" s="36">
        <f t="shared" ca="1" si="0"/>
        <v>33.784364658557102</v>
      </c>
      <c r="F69" s="35">
        <f t="shared" ca="1" si="0"/>
        <v>40.909489384906003</v>
      </c>
      <c r="G69" s="35">
        <f t="shared" ca="1" si="0"/>
        <v>39.409489384906003</v>
      </c>
      <c r="H69" s="41">
        <v>35.346864658557102</v>
      </c>
      <c r="I69" s="36">
        <v>33.846864658557102</v>
      </c>
      <c r="J69" s="35">
        <v>40.971989384906003</v>
      </c>
      <c r="K69" s="36">
        <v>39.471989384906003</v>
      </c>
      <c r="L69" s="31">
        <f ca="1">LOOKUP(2,1/(INDIRECT("'" &amp; A69&amp; "'!A4"):INDIRECT("'" &amp; A69 &amp; "'!A300")&lt;&gt;""),INDIRECT("'" &amp; A69 &amp; "'!A4"):INDIRECT("'" &amp; A69 &amp; "'!A300"))</f>
        <v>43572</v>
      </c>
    </row>
    <row r="70" spans="1:12" x14ac:dyDescent="0.25">
      <c r="A70" s="17" t="str">
        <f t="shared" si="1"/>
        <v>Trode (65)</v>
      </c>
      <c r="B70" s="25">
        <f ca="1">LOOKUP(2,1/(INDIRECT("'" &amp; A70 &amp; "'!C4"):INDIRECT("'" &amp; A70 &amp; "'!C300")&lt;&gt;""),INDIRECT("'" &amp; A70 &amp; "'!C4"):INDIRECT("'" &amp; A70 &amp; "'!C300"))</f>
        <v>0.25</v>
      </c>
      <c r="C70" s="11">
        <f t="shared" ca="1" si="2"/>
        <v>3.125E-2</v>
      </c>
      <c r="D70" s="35">
        <f t="shared" ref="D70:G89" ca="1" si="7">H70-$C70</f>
        <v>34.598161400984303</v>
      </c>
      <c r="E70" s="36">
        <f t="shared" ca="1" si="7"/>
        <v>33.098161400984303</v>
      </c>
      <c r="F70" s="35">
        <f t="shared" ca="1" si="7"/>
        <v>40.637491785626999</v>
      </c>
      <c r="G70" s="35">
        <f t="shared" ca="1" si="7"/>
        <v>39.137491785626999</v>
      </c>
      <c r="H70" s="41">
        <v>34.629411400984303</v>
      </c>
      <c r="I70" s="36">
        <v>33.129411400984303</v>
      </c>
      <c r="J70" s="35">
        <v>40.668741785626999</v>
      </c>
      <c r="K70" s="36">
        <v>39.168741785626999</v>
      </c>
      <c r="L70" s="31">
        <f ca="1">LOOKUP(2,1/(INDIRECT("'" &amp; A70&amp; "'!A4"):INDIRECT("'" &amp; A70 &amp; "'!A300")&lt;&gt;""),INDIRECT("'" &amp; A70 &amp; "'!A4"):INDIRECT("'" &amp; A70 &amp; "'!A300"))</f>
        <v>43572</v>
      </c>
    </row>
    <row r="71" spans="1:12" x14ac:dyDescent="0.25">
      <c r="A71" s="17" t="str">
        <f t="shared" si="1"/>
        <v>Trode (66)</v>
      </c>
      <c r="B71" s="25">
        <f ca="1">LOOKUP(2,1/(INDIRECT("'" &amp; A71 &amp; "'!C4"):INDIRECT("'" &amp; A71 &amp; "'!C300")&lt;&gt;""),INDIRECT("'" &amp; A71 &amp; "'!C4"):INDIRECT("'" &amp; A71 &amp; "'!C300"))</f>
        <v>0.5</v>
      </c>
      <c r="C71" s="11">
        <f t="shared" ref="C71:C101" ca="1" si="8">B71/8</f>
        <v>6.25E-2</v>
      </c>
      <c r="D71" s="35">
        <f t="shared" ca="1" si="7"/>
        <v>34.063771294862697</v>
      </c>
      <c r="E71" s="36">
        <f t="shared" ca="1" si="7"/>
        <v>32.563771294862697</v>
      </c>
      <c r="F71" s="35">
        <f t="shared" ca="1" si="7"/>
        <v>40.304041363845997</v>
      </c>
      <c r="G71" s="35">
        <f t="shared" ca="1" si="7"/>
        <v>38.804041363845997</v>
      </c>
      <c r="H71" s="41">
        <v>34.126271294862697</v>
      </c>
      <c r="I71" s="36">
        <v>32.626271294862697</v>
      </c>
      <c r="J71" s="35">
        <v>40.366541363845997</v>
      </c>
      <c r="K71" s="36">
        <v>38.866541363845997</v>
      </c>
      <c r="L71" s="31">
        <f ca="1">LOOKUP(2,1/(INDIRECT("'" &amp; A71&amp; "'!A4"):INDIRECT("'" &amp; A71 &amp; "'!A300")&lt;&gt;""),INDIRECT("'" &amp; A71 &amp; "'!A4"):INDIRECT("'" &amp; A71 &amp; "'!A300"))</f>
        <v>43572</v>
      </c>
    </row>
    <row r="72" spans="1:12" x14ac:dyDescent="0.25">
      <c r="A72" s="17" t="str">
        <f t="shared" ref="A72:A101" si="9">INDEX(Sheetnames,ROW(A72)-4)</f>
        <v>Trode (67)</v>
      </c>
      <c r="B72" s="25">
        <f ca="1">LOOKUP(2,1/(INDIRECT("'" &amp; A72 &amp; "'!C4"):INDIRECT("'" &amp; A72 &amp; "'!C300")&lt;&gt;""),INDIRECT("'" &amp; A72 &amp; "'!C4"):INDIRECT("'" &amp; A72 &amp; "'!C300"))</f>
        <v>0.25</v>
      </c>
      <c r="C72" s="11">
        <f t="shared" ca="1" si="8"/>
        <v>3.125E-2</v>
      </c>
      <c r="D72" s="35">
        <f t="shared" ca="1" si="7"/>
        <v>33.456006874905597</v>
      </c>
      <c r="E72" s="36">
        <f t="shared" ca="1" si="7"/>
        <v>31.956006874905601</v>
      </c>
      <c r="F72" s="35">
        <f t="shared" ca="1" si="7"/>
        <v>39.971287414362202</v>
      </c>
      <c r="G72" s="35">
        <f t="shared" ca="1" si="7"/>
        <v>38.471287414362202</v>
      </c>
      <c r="H72" s="41">
        <v>33.487256874905597</v>
      </c>
      <c r="I72" s="36">
        <v>31.987256874905601</v>
      </c>
      <c r="J72" s="35">
        <v>40.002537414362202</v>
      </c>
      <c r="K72" s="36">
        <v>38.502537414362202</v>
      </c>
      <c r="L72" s="31">
        <f ca="1">LOOKUP(2,1/(INDIRECT("'" &amp; A72&amp; "'!A4"):INDIRECT("'" &amp; A72 &amp; "'!A300")&lt;&gt;""),INDIRECT("'" &amp; A72 &amp; "'!A4"):INDIRECT("'" &amp; A72 &amp; "'!A300"))</f>
        <v>43572</v>
      </c>
    </row>
    <row r="73" spans="1:12" x14ac:dyDescent="0.25">
      <c r="A73" s="17" t="str">
        <f t="shared" si="9"/>
        <v>Trode (68)</v>
      </c>
      <c r="B73" s="25">
        <f ca="1">LOOKUP(2,1/(INDIRECT("'" &amp; A73 &amp; "'!C4"):INDIRECT("'" &amp; A73 &amp; "'!C300")&lt;&gt;""),INDIRECT("'" &amp; A73 &amp; "'!C4"):INDIRECT("'" &amp; A73 &amp; "'!C300"))</f>
        <v>0.25</v>
      </c>
      <c r="C73" s="11">
        <f t="shared" ca="1" si="8"/>
        <v>3.125E-2</v>
      </c>
      <c r="D73" s="35">
        <f t="shared" ca="1" si="7"/>
        <v>32.826974564723798</v>
      </c>
      <c r="E73" s="36">
        <f t="shared" ca="1" si="7"/>
        <v>31.326974564723798</v>
      </c>
      <c r="F73" s="35">
        <f t="shared" ca="1" si="7"/>
        <v>39.373095417880002</v>
      </c>
      <c r="G73" s="35">
        <f t="shared" ca="1" si="7"/>
        <v>37.873095417880002</v>
      </c>
      <c r="H73" s="41">
        <v>32.858224564723798</v>
      </c>
      <c r="I73" s="36">
        <v>31.358224564723798</v>
      </c>
      <c r="J73" s="35">
        <v>39.404345417880002</v>
      </c>
      <c r="K73" s="36">
        <v>37.904345417880002</v>
      </c>
      <c r="L73" s="31">
        <f ca="1">LOOKUP(2,1/(INDIRECT("'" &amp; A73&amp; "'!A4"):INDIRECT("'" &amp; A73 &amp; "'!A300")&lt;&gt;""),INDIRECT("'" &amp; A73 &amp; "'!A4"):INDIRECT("'" &amp; A73 &amp; "'!A300"))</f>
        <v>43572</v>
      </c>
    </row>
    <row r="74" spans="1:12" x14ac:dyDescent="0.25">
      <c r="A74" s="17" t="str">
        <f t="shared" si="9"/>
        <v>Trode (69)</v>
      </c>
      <c r="B74" s="25">
        <f ca="1">LOOKUP(2,1/(INDIRECT("'" &amp; A74 &amp; "'!C4"):INDIRECT("'" &amp; A74 &amp; "'!C300")&lt;&gt;""),INDIRECT("'" &amp; A74 &amp; "'!C4"):INDIRECT("'" &amp; A74 &amp; "'!C300"))</f>
        <v>0.5</v>
      </c>
      <c r="C74" s="11">
        <f t="shared" ca="1" si="8"/>
        <v>6.25E-2</v>
      </c>
      <c r="D74" s="35">
        <f t="shared" ca="1" si="7"/>
        <v>32.529293062402402</v>
      </c>
      <c r="E74" s="36">
        <f t="shared" ca="1" si="7"/>
        <v>31.029293062402399</v>
      </c>
      <c r="F74" s="35">
        <f t="shared" ca="1" si="7"/>
        <v>38.744515546883498</v>
      </c>
      <c r="G74" s="35">
        <f t="shared" ca="1" si="7"/>
        <v>37.244515546883498</v>
      </c>
      <c r="H74" s="41">
        <v>32.591793062402402</v>
      </c>
      <c r="I74" s="36">
        <v>31.091793062402399</v>
      </c>
      <c r="J74" s="35">
        <v>38.807015546883498</v>
      </c>
      <c r="K74" s="36">
        <v>37.307015546883498</v>
      </c>
      <c r="L74" s="31">
        <f ca="1">LOOKUP(2,1/(INDIRECT("'" &amp; A74&amp; "'!A4"):INDIRECT("'" &amp; A74 &amp; "'!A300")&lt;&gt;""),INDIRECT("'" &amp; A74 &amp; "'!A4"):INDIRECT("'" &amp; A74 &amp; "'!A300"))</f>
        <v>43572</v>
      </c>
    </row>
    <row r="75" spans="1:12" x14ac:dyDescent="0.25">
      <c r="A75" s="17" t="str">
        <f t="shared" si="9"/>
        <v>Trode (70)</v>
      </c>
      <c r="B75" s="25">
        <f ca="1">LOOKUP(2,1/(INDIRECT("'" &amp; A75 &amp; "'!C4"):INDIRECT("'" &amp; A75 &amp; "'!C300")&lt;&gt;""),INDIRECT("'" &amp; A75 &amp; "'!C4"):INDIRECT("'" &amp; A75 &amp; "'!C300"))</f>
        <v>0.25</v>
      </c>
      <c r="C75" s="11">
        <f t="shared" ca="1" si="8"/>
        <v>3.125E-2</v>
      </c>
      <c r="D75" s="35">
        <f t="shared" ca="1" si="7"/>
        <v>36.2793414006698</v>
      </c>
      <c r="E75" s="36">
        <f t="shared" ca="1" si="7"/>
        <v>34.7793414006698</v>
      </c>
      <c r="F75" s="35">
        <f t="shared" ca="1" si="7"/>
        <v>40.852571312229102</v>
      </c>
      <c r="G75" s="35">
        <f t="shared" ca="1" si="7"/>
        <v>39.352571312229102</v>
      </c>
      <c r="H75" s="41">
        <v>36.3105914006698</v>
      </c>
      <c r="I75" s="36">
        <v>34.8105914006698</v>
      </c>
      <c r="J75" s="35">
        <v>40.883821312229102</v>
      </c>
      <c r="K75" s="36">
        <v>39.383821312229102</v>
      </c>
      <c r="L75" s="31">
        <f ca="1">LOOKUP(2,1/(INDIRECT("'" &amp; A75&amp; "'!A4"):INDIRECT("'" &amp; A75 &amp; "'!A300")&lt;&gt;""),INDIRECT("'" &amp; A75 &amp; "'!A4"):INDIRECT("'" &amp; A75 &amp; "'!A300"))</f>
        <v>43572</v>
      </c>
    </row>
    <row r="76" spans="1:12" x14ac:dyDescent="0.25">
      <c r="A76" s="17" t="str">
        <f t="shared" si="9"/>
        <v>Trode (71)</v>
      </c>
      <c r="B76" s="25">
        <f ca="1">LOOKUP(2,1/(INDIRECT("'" &amp; A76 &amp; "'!C4"):INDIRECT("'" &amp; A76 &amp; "'!C300")&lt;&gt;""),INDIRECT("'" &amp; A76 &amp; "'!C4"):INDIRECT("'" &amp; A76 &amp; "'!C300"))</f>
        <v>0.25</v>
      </c>
      <c r="C76" s="11">
        <f t="shared" ca="1" si="8"/>
        <v>3.125E-2</v>
      </c>
      <c r="D76" s="35">
        <f t="shared" ca="1" si="7"/>
        <v>35.3704668748667</v>
      </c>
      <c r="E76" s="36">
        <f t="shared" ca="1" si="7"/>
        <v>33.8704668748667</v>
      </c>
      <c r="F76" s="35">
        <f t="shared" ca="1" si="7"/>
        <v>40.0898282643548</v>
      </c>
      <c r="G76" s="35">
        <f t="shared" ca="1" si="7"/>
        <v>38.5898282643548</v>
      </c>
      <c r="H76" s="41">
        <v>35.4017168748667</v>
      </c>
      <c r="I76" s="36">
        <v>33.9017168748667</v>
      </c>
      <c r="J76" s="35">
        <v>40.1210782643548</v>
      </c>
      <c r="K76" s="36">
        <v>38.6210782643548</v>
      </c>
      <c r="L76" s="31">
        <f ca="1">LOOKUP(2,1/(INDIRECT("'" &amp; A76&amp; "'!A4"):INDIRECT("'" &amp; A76 &amp; "'!A300")&lt;&gt;""),INDIRECT("'" &amp; A76 &amp; "'!A4"):INDIRECT("'" &amp; A76 &amp; "'!A300"))</f>
        <v>43566</v>
      </c>
    </row>
    <row r="77" spans="1:12" x14ac:dyDescent="0.25">
      <c r="A77" s="17" t="str">
        <f t="shared" si="9"/>
        <v>Trode (72)</v>
      </c>
      <c r="B77" s="25">
        <f ca="1">LOOKUP(2,1/(INDIRECT("'" &amp; A77 &amp; "'!C4"):INDIRECT("'" &amp; A77 &amp; "'!C300")&lt;&gt;""),INDIRECT("'" &amp; A77 &amp; "'!C4"):INDIRECT("'" &amp; A77 &amp; "'!C300"))</f>
        <v>0.25</v>
      </c>
      <c r="C77" s="11">
        <f t="shared" ca="1" si="8"/>
        <v>3.125E-2</v>
      </c>
      <c r="D77" s="35">
        <f t="shared" ca="1" si="7"/>
        <v>35.662577130354798</v>
      </c>
      <c r="E77" s="36">
        <f t="shared" ca="1" si="7"/>
        <v>34.162577130354798</v>
      </c>
      <c r="F77" s="35">
        <f t="shared" ca="1" si="7"/>
        <v>41.2985833669456</v>
      </c>
      <c r="G77" s="35">
        <f t="shared" ca="1" si="7"/>
        <v>39.7985833669456</v>
      </c>
      <c r="H77" s="41">
        <v>35.693827130354798</v>
      </c>
      <c r="I77" s="36">
        <v>34.193827130354798</v>
      </c>
      <c r="J77" s="35">
        <v>41.3298333669456</v>
      </c>
      <c r="K77" s="36">
        <v>39.8298333669456</v>
      </c>
      <c r="L77" s="31">
        <f ca="1">LOOKUP(2,1/(INDIRECT("'" &amp; A77&amp; "'!A4"):INDIRECT("'" &amp; A77 &amp; "'!A300")&lt;&gt;""),INDIRECT("'" &amp; A77 &amp; "'!A4"):INDIRECT("'" &amp; A77 &amp; "'!A300"))</f>
        <v>43572</v>
      </c>
    </row>
    <row r="78" spans="1:12" x14ac:dyDescent="0.25">
      <c r="A78" s="17" t="str">
        <f t="shared" si="9"/>
        <v>Trode (73)</v>
      </c>
      <c r="B78" s="25">
        <f ca="1">LOOKUP(2,1/(INDIRECT("'" &amp; A78 &amp; "'!C4"):INDIRECT("'" &amp; A78 &amp; "'!C300")&lt;&gt;""),INDIRECT("'" &amp; A78 &amp; "'!C4"):INDIRECT("'" &amp; A78 &amp; "'!C300"))</f>
        <v>0.5</v>
      </c>
      <c r="C78" s="11">
        <f t="shared" ca="1" si="8"/>
        <v>6.25E-2</v>
      </c>
      <c r="D78" s="35">
        <f t="shared" ca="1" si="7"/>
        <v>34.942580467827497</v>
      </c>
      <c r="E78" s="36">
        <f t="shared" ca="1" si="7"/>
        <v>33.442580467827497</v>
      </c>
      <c r="F78" s="35">
        <f t="shared" ca="1" si="7"/>
        <v>40.840707382620799</v>
      </c>
      <c r="G78" s="35">
        <f t="shared" ca="1" si="7"/>
        <v>39.340707382620799</v>
      </c>
      <c r="H78" s="41">
        <v>35.005080467827497</v>
      </c>
      <c r="I78" s="36">
        <v>33.505080467827497</v>
      </c>
      <c r="J78" s="35">
        <v>40.903207382620799</v>
      </c>
      <c r="K78" s="36">
        <v>39.403207382620799</v>
      </c>
      <c r="L78" s="31">
        <f ca="1">LOOKUP(2,1/(INDIRECT("'" &amp; A78&amp; "'!A4"):INDIRECT("'" &amp; A78 &amp; "'!A300")&lt;&gt;""),INDIRECT("'" &amp; A78 &amp; "'!A4"):INDIRECT("'" &amp; A78 &amp; "'!A300"))</f>
        <v>43572</v>
      </c>
    </row>
    <row r="79" spans="1:12" x14ac:dyDescent="0.25">
      <c r="A79" s="17" t="str">
        <f t="shared" si="9"/>
        <v>Trode (74)</v>
      </c>
      <c r="B79" s="25">
        <f ca="1">LOOKUP(2,1/(INDIRECT("'" &amp; A79 &amp; "'!C4"):INDIRECT("'" &amp; A79 &amp; "'!C300")&lt;&gt;""),INDIRECT("'" &amp; A79 &amp; "'!C4"):INDIRECT("'" &amp; A79 &amp; "'!C300"))</f>
        <v>0.5</v>
      </c>
      <c r="C79" s="11">
        <f t="shared" ca="1" si="8"/>
        <v>6.25E-2</v>
      </c>
      <c r="D79" s="35">
        <f t="shared" ca="1" si="7"/>
        <v>34.306351739031399</v>
      </c>
      <c r="E79" s="36">
        <f t="shared" ca="1" si="7"/>
        <v>32.806351739031399</v>
      </c>
      <c r="F79" s="35">
        <f t="shared" ca="1" si="7"/>
        <v>40.383742370868099</v>
      </c>
      <c r="G79" s="35">
        <f t="shared" ca="1" si="7"/>
        <v>38.883742370868099</v>
      </c>
      <c r="H79" s="41">
        <v>34.368851739031399</v>
      </c>
      <c r="I79" s="36">
        <v>32.868851739031399</v>
      </c>
      <c r="J79" s="35">
        <v>40.446242370868099</v>
      </c>
      <c r="K79" s="36">
        <v>38.946242370868099</v>
      </c>
      <c r="L79" s="31">
        <f ca="1">LOOKUP(2,1/(INDIRECT("'" &amp; A79&amp; "'!A4"):INDIRECT("'" &amp; A79 &amp; "'!A300")&lt;&gt;""),INDIRECT("'" &amp; A79 &amp; "'!A4"):INDIRECT("'" &amp; A79 &amp; "'!A300"))</f>
        <v>43570</v>
      </c>
    </row>
    <row r="80" spans="1:12" x14ac:dyDescent="0.25">
      <c r="A80" s="17" t="str">
        <f t="shared" si="9"/>
        <v>Trode (75)</v>
      </c>
      <c r="B80" s="25">
        <f ca="1">LOOKUP(2,1/(INDIRECT("'" &amp; A80 &amp; "'!C4"):INDIRECT("'" &amp; A80 &amp; "'!C300")&lt;&gt;""),INDIRECT("'" &amp; A80 &amp; "'!C4"):INDIRECT("'" &amp; A80 &amp; "'!C300"))</f>
        <v>0.25</v>
      </c>
      <c r="C80" s="11">
        <f t="shared" ca="1" si="8"/>
        <v>3.125E-2</v>
      </c>
      <c r="D80" s="35">
        <f t="shared" ca="1" si="7"/>
        <v>33.615201117049502</v>
      </c>
      <c r="E80" s="36">
        <f t="shared" ca="1" si="7"/>
        <v>32.115201117049502</v>
      </c>
      <c r="F80" s="35">
        <f t="shared" ca="1" si="7"/>
        <v>40.189092491560203</v>
      </c>
      <c r="G80" s="35">
        <f t="shared" ca="1" si="7"/>
        <v>38.689092491560203</v>
      </c>
      <c r="H80" s="41">
        <v>33.646451117049502</v>
      </c>
      <c r="I80" s="36">
        <v>32.146451117049502</v>
      </c>
      <c r="J80" s="35">
        <v>40.220342491560203</v>
      </c>
      <c r="K80" s="36">
        <v>38.720342491560203</v>
      </c>
      <c r="L80" s="31">
        <f ca="1">LOOKUP(2,1/(INDIRECT("'" &amp; A80&amp; "'!A4"):INDIRECT("'" &amp; A80 &amp; "'!A300")&lt;&gt;""),INDIRECT("'" &amp; A80 &amp; "'!A4"):INDIRECT("'" &amp; A80 &amp; "'!A300"))</f>
        <v>43572</v>
      </c>
    </row>
    <row r="81" spans="1:12" x14ac:dyDescent="0.25">
      <c r="A81" s="17" t="str">
        <f t="shared" si="9"/>
        <v>Trode (76)</v>
      </c>
      <c r="B81" s="25">
        <f ca="1">LOOKUP(2,1/(INDIRECT("'" &amp; A81 &amp; "'!C4"):INDIRECT("'" &amp; A81 &amp; "'!C300")&lt;&gt;""),INDIRECT("'" &amp; A81 &amp; "'!C4"):INDIRECT("'" &amp; A81 &amp; "'!C300"))</f>
        <v>0.5</v>
      </c>
      <c r="C81" s="11">
        <f t="shared" ca="1" si="8"/>
        <v>6.25E-2</v>
      </c>
      <c r="D81" s="35">
        <f t="shared" ca="1" si="7"/>
        <v>33.048369492139003</v>
      </c>
      <c r="E81" s="36">
        <f t="shared" ca="1" si="7"/>
        <v>31.548369492138999</v>
      </c>
      <c r="F81" s="35">
        <f t="shared" ca="1" si="7"/>
        <v>39.566411238399198</v>
      </c>
      <c r="G81" s="35">
        <f t="shared" ca="1" si="7"/>
        <v>38.066411238399198</v>
      </c>
      <c r="H81" s="41">
        <v>33.110869492139003</v>
      </c>
      <c r="I81" s="36">
        <v>31.610869492138999</v>
      </c>
      <c r="J81" s="35">
        <v>39.628911238399198</v>
      </c>
      <c r="K81" s="36">
        <v>38.128911238399198</v>
      </c>
      <c r="L81" s="31">
        <f ca="1">LOOKUP(2,1/(INDIRECT("'" &amp; A81&amp; "'!A4"):INDIRECT("'" &amp; A81 &amp; "'!A300")&lt;&gt;""),INDIRECT("'" &amp; A81 &amp; "'!A4"):INDIRECT("'" &amp; A81 &amp; "'!A300"))</f>
        <v>43572</v>
      </c>
    </row>
    <row r="82" spans="1:12" x14ac:dyDescent="0.25">
      <c r="A82" s="17" t="str">
        <f t="shared" si="9"/>
        <v>Trode (77)</v>
      </c>
      <c r="B82" s="25">
        <f ca="1">LOOKUP(2,1/(INDIRECT("'" &amp; A82 &amp; "'!C4"):INDIRECT("'" &amp; A82 &amp; "'!C300")&lt;&gt;""),INDIRECT("'" &amp; A82 &amp; "'!C4"):INDIRECT("'" &amp; A82 &amp; "'!C300"))</f>
        <v>0.25</v>
      </c>
      <c r="C82" s="11">
        <f t="shared" ca="1" si="8"/>
        <v>3.125E-2</v>
      </c>
      <c r="D82" s="35">
        <f t="shared" ca="1" si="7"/>
        <v>33.042190602510097</v>
      </c>
      <c r="E82" s="36">
        <f t="shared" ca="1" si="7"/>
        <v>31.5421906025101</v>
      </c>
      <c r="F82" s="35">
        <f t="shared" ca="1" si="7"/>
        <v>38.952566043747503</v>
      </c>
      <c r="G82" s="35">
        <f t="shared" ca="1" si="7"/>
        <v>37.452566043747503</v>
      </c>
      <c r="H82" s="41">
        <v>33.073440602510097</v>
      </c>
      <c r="I82" s="36">
        <v>31.5734406025101</v>
      </c>
      <c r="J82" s="35">
        <v>38.983816043747503</v>
      </c>
      <c r="K82" s="36">
        <v>37.483816043747503</v>
      </c>
      <c r="L82" s="31">
        <f ca="1">LOOKUP(2,1/(INDIRECT("'" &amp; A82&amp; "'!A4"):INDIRECT("'" &amp; A82 &amp; "'!A300")&lt;&gt;""),INDIRECT("'" &amp; A82 &amp; "'!A4"):INDIRECT("'" &amp; A82 &amp; "'!A300"))</f>
        <v>43572</v>
      </c>
    </row>
    <row r="83" spans="1:12" x14ac:dyDescent="0.25">
      <c r="A83" s="17" t="str">
        <f t="shared" si="9"/>
        <v>Trode (78)</v>
      </c>
      <c r="B83" s="25" t="str">
        <f ca="1">LOOKUP(2,1/(INDIRECT("'" &amp; A83 &amp; "'!C4"):INDIRECT("'" &amp; A83 &amp; "'!C300")&lt;&gt;""),INDIRECT("'" &amp; A83 &amp; "'!C4"):INDIRECT("'" &amp; A83 &amp; "'!C300"))</f>
        <v xml:space="preserve"> </v>
      </c>
      <c r="C83" s="11" t="e">
        <f t="shared" ca="1" si="8"/>
        <v>#VALUE!</v>
      </c>
      <c r="D83" s="35" t="e">
        <f t="shared" ca="1" si="7"/>
        <v>#VALUE!</v>
      </c>
      <c r="E83" s="36" t="e">
        <f t="shared" ca="1" si="7"/>
        <v>#VALUE!</v>
      </c>
      <c r="F83" s="35" t="e">
        <f t="shared" ca="1" si="7"/>
        <v>#VALUE!</v>
      </c>
      <c r="G83" s="35" t="e">
        <f t="shared" ca="1" si="7"/>
        <v>#VALUE!</v>
      </c>
      <c r="H83" s="41">
        <v>36.395295115306197</v>
      </c>
      <c r="I83" s="36">
        <v>34.895295115306197</v>
      </c>
      <c r="J83" s="35">
        <v>40.661603045481598</v>
      </c>
      <c r="K83" s="36">
        <v>39.161603045481598</v>
      </c>
      <c r="L83" s="31">
        <f ca="1">LOOKUP(2,1/(INDIRECT("'" &amp; A83&amp; "'!A4"):INDIRECT("'" &amp; A83 &amp; "'!A300")&lt;&gt;""),INDIRECT("'" &amp; A83 &amp; "'!A4"):INDIRECT("'" &amp; A83 &amp; "'!A300"))</f>
        <v>43572</v>
      </c>
    </row>
    <row r="84" spans="1:12" x14ac:dyDescent="0.25">
      <c r="A84" s="17" t="str">
        <f t="shared" si="9"/>
        <v>Trode (79)</v>
      </c>
      <c r="B84" s="25">
        <f ca="1">LOOKUP(2,1/(INDIRECT("'" &amp; A84 &amp; "'!C4"):INDIRECT("'" &amp; A84 &amp; "'!C300")&lt;&gt;""),INDIRECT("'" &amp; A84 &amp; "'!C4"):INDIRECT("'" &amp; A84 &amp; "'!C300"))</f>
        <v>0.25</v>
      </c>
      <c r="C84" s="11">
        <f t="shared" ca="1" si="8"/>
        <v>3.125E-2</v>
      </c>
      <c r="D84" s="35">
        <f t="shared" ca="1" si="7"/>
        <v>35.579106040949398</v>
      </c>
      <c r="E84" s="36">
        <f t="shared" ca="1" si="7"/>
        <v>34.079106040949398</v>
      </c>
      <c r="F84" s="35">
        <f t="shared" ca="1" si="7"/>
        <v>40.640668978227403</v>
      </c>
      <c r="G84" s="35">
        <f t="shared" ca="1" si="7"/>
        <v>39.140668978227403</v>
      </c>
      <c r="H84" s="41">
        <v>35.610356040949398</v>
      </c>
      <c r="I84" s="36">
        <v>34.110356040949398</v>
      </c>
      <c r="J84" s="35">
        <v>40.671918978227403</v>
      </c>
      <c r="K84" s="36">
        <v>39.171918978227403</v>
      </c>
      <c r="L84" s="31">
        <f ca="1">LOOKUP(2,1/(INDIRECT("'" &amp; A84&amp; "'!A4"):INDIRECT("'" &amp; A84 &amp; "'!A300")&lt;&gt;""),INDIRECT("'" &amp; A84 &amp; "'!A4"):INDIRECT("'" &amp; A84 &amp; "'!A300"))</f>
        <v>43572</v>
      </c>
    </row>
    <row r="85" spans="1:12" x14ac:dyDescent="0.25">
      <c r="A85" s="17" t="str">
        <f t="shared" si="9"/>
        <v>Trode (80)</v>
      </c>
      <c r="B85" s="25">
        <f ca="1">LOOKUP(2,1/(INDIRECT("'" &amp; A85 &amp; "'!C4"):INDIRECT("'" &amp; A85 &amp; "'!C300")&lt;&gt;""),INDIRECT("'" &amp; A85 &amp; "'!C4"):INDIRECT("'" &amp; A85 &amp; "'!C300"))</f>
        <v>0.25</v>
      </c>
      <c r="C85" s="11">
        <f t="shared" ca="1" si="8"/>
        <v>3.125E-2</v>
      </c>
      <c r="D85" s="35">
        <f t="shared" ca="1" si="7"/>
        <v>36.398344502237599</v>
      </c>
      <c r="E85" s="36">
        <f t="shared" ca="1" si="7"/>
        <v>34.898344502237599</v>
      </c>
      <c r="F85" s="35">
        <f t="shared" ca="1" si="7"/>
        <v>41.474649357119901</v>
      </c>
      <c r="G85" s="35">
        <f t="shared" ca="1" si="7"/>
        <v>39.974649357119901</v>
      </c>
      <c r="H85" s="41">
        <v>36.429594502237599</v>
      </c>
      <c r="I85" s="36">
        <v>34.929594502237599</v>
      </c>
      <c r="J85" s="35">
        <v>41.505899357119901</v>
      </c>
      <c r="K85" s="36">
        <v>40.005899357119901</v>
      </c>
      <c r="L85" s="31">
        <f ca="1">LOOKUP(2,1/(INDIRECT("'" &amp; A85&amp; "'!A4"):INDIRECT("'" &amp; A85 &amp; "'!A300")&lt;&gt;""),INDIRECT("'" &amp; A85 &amp; "'!A4"):INDIRECT("'" &amp; A85 &amp; "'!A300"))</f>
        <v>43572</v>
      </c>
    </row>
    <row r="86" spans="1:12" x14ac:dyDescent="0.25">
      <c r="A86" s="17" t="str">
        <f t="shared" si="9"/>
        <v>Trode (81)</v>
      </c>
      <c r="B86" s="25">
        <f ca="1">LOOKUP(2,1/(INDIRECT("'" &amp; A86 &amp; "'!C4"):INDIRECT("'" &amp; A86 &amp; "'!C300")&lt;&gt;""),INDIRECT("'" &amp; A86 &amp; "'!C4"):INDIRECT("'" &amp; A86 &amp; "'!C300"))</f>
        <v>0.25</v>
      </c>
      <c r="C86" s="11">
        <f t="shared" ca="1" si="8"/>
        <v>3.125E-2</v>
      </c>
      <c r="D86" s="35">
        <f t="shared" ca="1" si="7"/>
        <v>35.6944239675543</v>
      </c>
      <c r="E86" s="36">
        <f t="shared" ca="1" si="7"/>
        <v>34.1944239675543</v>
      </c>
      <c r="F86" s="35">
        <f t="shared" ca="1" si="7"/>
        <v>40.840780729954801</v>
      </c>
      <c r="G86" s="35">
        <f t="shared" ca="1" si="7"/>
        <v>39.340780729954801</v>
      </c>
      <c r="H86" s="41">
        <v>35.7256739675543</v>
      </c>
      <c r="I86" s="36">
        <v>34.2256739675543</v>
      </c>
      <c r="J86" s="35">
        <v>40.872030729954801</v>
      </c>
      <c r="K86" s="36">
        <v>39.372030729954801</v>
      </c>
      <c r="L86" s="31">
        <f ca="1">LOOKUP(2,1/(INDIRECT("'" &amp; A86&amp; "'!A4"):INDIRECT("'" &amp; A86 &amp; "'!A300")&lt;&gt;""),INDIRECT("'" &amp; A86 &amp; "'!A4"):INDIRECT("'" &amp; A86 &amp; "'!A300"))</f>
        <v>43572</v>
      </c>
    </row>
    <row r="87" spans="1:12" x14ac:dyDescent="0.25">
      <c r="A87" s="17" t="str">
        <f t="shared" si="9"/>
        <v>Trode (82)</v>
      </c>
      <c r="B87" s="25">
        <f ca="1">LOOKUP(2,1/(INDIRECT("'" &amp; A87 &amp; "'!C4"):INDIRECT("'" &amp; A87 &amp; "'!C300")&lt;&gt;""),INDIRECT("'" &amp; A87 &amp; "'!C4"):INDIRECT("'" &amp; A87 &amp; "'!C300"))</f>
        <v>0.5</v>
      </c>
      <c r="C87" s="11">
        <f t="shared" ca="1" si="8"/>
        <v>6.25E-2</v>
      </c>
      <c r="D87" s="35">
        <f t="shared" ca="1" si="7"/>
        <v>35.407712043632998</v>
      </c>
      <c r="E87" s="36">
        <f t="shared" ca="1" si="7"/>
        <v>33.907712043632998</v>
      </c>
      <c r="F87" s="35">
        <f t="shared" ca="1" si="7"/>
        <v>40.327137916079799</v>
      </c>
      <c r="G87" s="35">
        <f t="shared" ca="1" si="7"/>
        <v>38.827137916079799</v>
      </c>
      <c r="H87" s="41">
        <v>35.470212043632998</v>
      </c>
      <c r="I87" s="36">
        <v>33.970212043632998</v>
      </c>
      <c r="J87" s="35">
        <v>40.389637916079799</v>
      </c>
      <c r="K87" s="36">
        <v>38.889637916079799</v>
      </c>
      <c r="L87" s="31">
        <f ca="1">LOOKUP(2,1/(INDIRECT("'" &amp; A87&amp; "'!A4"):INDIRECT("'" &amp; A87 &amp; "'!A300")&lt;&gt;""),INDIRECT("'" &amp; A87 &amp; "'!A4"):INDIRECT("'" &amp; A87 &amp; "'!A300"))</f>
        <v>43572</v>
      </c>
    </row>
    <row r="88" spans="1:12" x14ac:dyDescent="0.25">
      <c r="A88" s="17" t="str">
        <f t="shared" si="9"/>
        <v>Trode (83)</v>
      </c>
      <c r="B88" s="25">
        <f ca="1">LOOKUP(2,1/(INDIRECT("'" &amp; A88 &amp; "'!C4"):INDIRECT("'" &amp; A88 &amp; "'!C300")&lt;&gt;""),INDIRECT("'" &amp; A88 &amp; "'!C4"):INDIRECT("'" &amp; A88 &amp; "'!C300"))</f>
        <v>0.25</v>
      </c>
      <c r="C88" s="11">
        <f t="shared" ca="1" si="8"/>
        <v>3.125E-2</v>
      </c>
      <c r="D88" s="35">
        <f t="shared" ca="1" si="7"/>
        <v>35.732680128501798</v>
      </c>
      <c r="E88" s="36">
        <f t="shared" ca="1" si="7"/>
        <v>34.232680128501798</v>
      </c>
      <c r="F88" s="35">
        <f t="shared" ca="1" si="7"/>
        <v>40.317437055281601</v>
      </c>
      <c r="G88" s="35">
        <f t="shared" ca="1" si="7"/>
        <v>38.817437055281601</v>
      </c>
      <c r="H88" s="41">
        <v>35.763930128501798</v>
      </c>
      <c r="I88" s="36">
        <v>34.263930128501798</v>
      </c>
      <c r="J88" s="35">
        <v>40.348687055281601</v>
      </c>
      <c r="K88" s="36">
        <v>38.848687055281601</v>
      </c>
      <c r="L88" s="31">
        <f ca="1">LOOKUP(2,1/(INDIRECT("'" &amp; A88&amp; "'!A4"):INDIRECT("'" &amp; A88 &amp; "'!A300")&lt;&gt;""),INDIRECT("'" &amp; A88 &amp; "'!A4"):INDIRECT("'" &amp; A88 &amp; "'!A300"))</f>
        <v>43513</v>
      </c>
    </row>
    <row r="89" spans="1:12" x14ac:dyDescent="0.25">
      <c r="A89" s="17" t="str">
        <f t="shared" si="9"/>
        <v>Trode (84)</v>
      </c>
      <c r="B89" s="25">
        <f ca="1">LOOKUP(2,1/(INDIRECT("'" &amp; A89 &amp; "'!C4"):INDIRECT("'" &amp; A89 &amp; "'!C300")&lt;&gt;""),INDIRECT("'" &amp; A89 &amp; "'!C4"):INDIRECT("'" &amp; A89 &amp; "'!C300"))</f>
        <v>0.25</v>
      </c>
      <c r="C89" s="11">
        <f t="shared" ca="1" si="8"/>
        <v>3.125E-2</v>
      </c>
      <c r="D89" s="35">
        <f t="shared" ca="1" si="7"/>
        <v>35.272993592346602</v>
      </c>
      <c r="E89" s="36">
        <f t="shared" ca="1" si="7"/>
        <v>33.772993592346602</v>
      </c>
      <c r="F89" s="35">
        <f t="shared" ca="1" si="7"/>
        <v>39.801225152773398</v>
      </c>
      <c r="G89" s="35">
        <f t="shared" ca="1" si="7"/>
        <v>38.301225152773398</v>
      </c>
      <c r="H89" s="41">
        <v>35.304243592346602</v>
      </c>
      <c r="I89" s="36">
        <v>33.804243592346602</v>
      </c>
      <c r="J89" s="35">
        <v>39.832475152773398</v>
      </c>
      <c r="K89" s="36">
        <v>38.332475152773398</v>
      </c>
      <c r="L89" s="31">
        <f ca="1">LOOKUP(2,1/(INDIRECT("'" &amp; A89&amp; "'!A4"):INDIRECT("'" &amp; A89 &amp; "'!A300")&lt;&gt;""),INDIRECT("'" &amp; A89 &amp; "'!A4"):INDIRECT("'" &amp; A89 &amp; "'!A300"))</f>
        <v>43572</v>
      </c>
    </row>
    <row r="90" spans="1:12" x14ac:dyDescent="0.25">
      <c r="A90" s="17" t="str">
        <f t="shared" si="9"/>
        <v>Trode (85)</v>
      </c>
      <c r="B90" s="25">
        <f ca="1">LOOKUP(2,1/(INDIRECT("'" &amp; A90 &amp; "'!C4"):INDIRECT("'" &amp; A90 &amp; "'!C300")&lt;&gt;""),INDIRECT("'" &amp; A90 &amp; "'!C4"):INDIRECT("'" &amp; A90 &amp; "'!C300"))</f>
        <v>0.25</v>
      </c>
      <c r="C90" s="11">
        <f t="shared" ca="1" si="8"/>
        <v>3.125E-2</v>
      </c>
      <c r="D90" s="35" t="s">
        <v>22</v>
      </c>
      <c r="E90" s="36" t="s">
        <v>22</v>
      </c>
      <c r="F90" s="35">
        <f t="shared" ref="F90:G101" ca="1" si="10">J90-$C90</f>
        <v>39.647238979962303</v>
      </c>
      <c r="G90" s="35">
        <f t="shared" ca="1" si="10"/>
        <v>38.147238979962303</v>
      </c>
      <c r="H90" s="41" t="s">
        <v>22</v>
      </c>
      <c r="I90" s="36" t="s">
        <v>22</v>
      </c>
      <c r="J90" s="35">
        <v>39.678488979962303</v>
      </c>
      <c r="K90" s="36">
        <v>38.178488979962303</v>
      </c>
      <c r="L90" s="31">
        <f ca="1">LOOKUP(2,1/(INDIRECT("'" &amp; A90&amp; "'!A4"):INDIRECT("'" &amp; A90 &amp; "'!A300")&lt;&gt;""),INDIRECT("'" &amp; A90 &amp; "'!A4"):INDIRECT("'" &amp; A90 &amp; "'!A300"))</f>
        <v>43572</v>
      </c>
    </row>
    <row r="91" spans="1:12" x14ac:dyDescent="0.25">
      <c r="A91" s="17" t="str">
        <f t="shared" si="9"/>
        <v>Trode (86)</v>
      </c>
      <c r="B91" s="25">
        <f ca="1">LOOKUP(2,1/(INDIRECT("'" &amp; A91 &amp; "'!C4"):INDIRECT("'" &amp; A91 &amp; "'!C300")&lt;&gt;""),INDIRECT("'" &amp; A91 &amp; "'!C4"):INDIRECT("'" &amp; A91 &amp; "'!C300"))</f>
        <v>0.25</v>
      </c>
      <c r="C91" s="11">
        <f t="shared" ca="1" si="8"/>
        <v>3.125E-2</v>
      </c>
      <c r="D91" s="35" t="s">
        <v>22</v>
      </c>
      <c r="E91" s="36" t="s">
        <v>22</v>
      </c>
      <c r="F91" s="35">
        <f t="shared" ca="1" si="10"/>
        <v>40.433115019718301</v>
      </c>
      <c r="G91" s="35">
        <f t="shared" ca="1" si="10"/>
        <v>38.933115019718301</v>
      </c>
      <c r="H91" s="41" t="s">
        <v>22</v>
      </c>
      <c r="I91" s="36" t="s">
        <v>22</v>
      </c>
      <c r="J91" s="35">
        <v>40.464365019718301</v>
      </c>
      <c r="K91" s="36">
        <v>38.964365019718301</v>
      </c>
      <c r="L91" s="31">
        <f ca="1">LOOKUP(2,1/(INDIRECT("'" &amp; A91&amp; "'!A4"):INDIRECT("'" &amp; A91 &amp; "'!A300")&lt;&gt;""),INDIRECT("'" &amp; A91 &amp; "'!A4"):INDIRECT("'" &amp; A91 &amp; "'!A300"))</f>
        <v>43572</v>
      </c>
    </row>
    <row r="92" spans="1:12" x14ac:dyDescent="0.25">
      <c r="A92" s="17" t="str">
        <f t="shared" si="9"/>
        <v>Trode (87)</v>
      </c>
      <c r="B92" s="25">
        <f ca="1">LOOKUP(2,1/(INDIRECT("'" &amp; A92 &amp; "'!C4"):INDIRECT("'" &amp; A92 &amp; "'!C300")&lt;&gt;""),INDIRECT("'" &amp; A92 &amp; "'!C4"):INDIRECT("'" &amp; A92 &amp; "'!C300"))</f>
        <v>0.25</v>
      </c>
      <c r="C92" s="11">
        <f t="shared" ca="1" si="8"/>
        <v>3.125E-2</v>
      </c>
      <c r="D92" s="35" t="s">
        <v>22</v>
      </c>
      <c r="E92" s="36" t="s">
        <v>22</v>
      </c>
      <c r="F92" s="35">
        <f t="shared" ca="1" si="10"/>
        <v>41.236174349192702</v>
      </c>
      <c r="G92" s="35">
        <f t="shared" ca="1" si="10"/>
        <v>39.736174349192702</v>
      </c>
      <c r="H92" s="41" t="s">
        <v>22</v>
      </c>
      <c r="I92" s="36" t="s">
        <v>22</v>
      </c>
      <c r="J92" s="35">
        <v>41.267424349192702</v>
      </c>
      <c r="K92" s="36">
        <v>39.767424349192702</v>
      </c>
      <c r="L92" s="31">
        <f ca="1">LOOKUP(2,1/(INDIRECT("'" &amp; A92&amp; "'!A4"):INDIRECT("'" &amp; A92 &amp; "'!A300")&lt;&gt;""),INDIRECT("'" &amp; A92 &amp; "'!A4"):INDIRECT("'" &amp; A92 &amp; "'!A300"))</f>
        <v>43572</v>
      </c>
    </row>
    <row r="93" spans="1:12" x14ac:dyDescent="0.25">
      <c r="A93" s="17" t="str">
        <f t="shared" si="9"/>
        <v>Trode (88)</v>
      </c>
      <c r="B93" s="25">
        <f ca="1">LOOKUP(2,1/(INDIRECT("'" &amp; A93 &amp; "'!C4"):INDIRECT("'" &amp; A93 &amp; "'!C300")&lt;&gt;""),INDIRECT("'" &amp; A93 &amp; "'!C4"):INDIRECT("'" &amp; A93 &amp; "'!C300"))</f>
        <v>0.25</v>
      </c>
      <c r="C93" s="11">
        <f t="shared" ca="1" si="8"/>
        <v>3.125E-2</v>
      </c>
      <c r="D93" s="35" t="s">
        <v>22</v>
      </c>
      <c r="E93" s="36" t="s">
        <v>22</v>
      </c>
      <c r="F93" s="35">
        <f t="shared" ca="1" si="10"/>
        <v>41.407502713318202</v>
      </c>
      <c r="G93" s="35">
        <f t="shared" ca="1" si="10"/>
        <v>39.907502713318202</v>
      </c>
      <c r="H93" s="41" t="s">
        <v>22</v>
      </c>
      <c r="I93" s="36" t="s">
        <v>22</v>
      </c>
      <c r="J93" s="35">
        <v>41.438752713318202</v>
      </c>
      <c r="K93" s="36">
        <v>39.938752713318202</v>
      </c>
      <c r="L93" s="31">
        <f ca="1">LOOKUP(2,1/(INDIRECT("'" &amp; A93&amp; "'!A4"):INDIRECT("'" &amp; A93 &amp; "'!A300")&lt;&gt;""),INDIRECT("'" &amp; A93 &amp; "'!A4"):INDIRECT("'" &amp; A93 &amp; "'!A300"))</f>
        <v>43572</v>
      </c>
    </row>
    <row r="94" spans="1:12" x14ac:dyDescent="0.25">
      <c r="A94" s="17" t="str">
        <f t="shared" si="9"/>
        <v>Trode (89)</v>
      </c>
      <c r="B94" s="25">
        <f ca="1">LOOKUP(2,1/(INDIRECT("'" &amp; A94 &amp; "'!C4"):INDIRECT("'" &amp; A94 &amp; "'!C300")&lt;&gt;""),INDIRECT("'" &amp; A94 &amp; "'!C4"):INDIRECT("'" &amp; A94 &amp; "'!C300"))</f>
        <v>0.5</v>
      </c>
      <c r="C94" s="11">
        <f t="shared" ca="1" si="8"/>
        <v>6.25E-2</v>
      </c>
      <c r="D94" s="35" t="s">
        <v>22</v>
      </c>
      <c r="E94" s="36" t="s">
        <v>22</v>
      </c>
      <c r="F94" s="35">
        <f t="shared" ca="1" si="10"/>
        <v>40.511612685518998</v>
      </c>
      <c r="G94" s="35">
        <f t="shared" ca="1" si="10"/>
        <v>39.011612685518998</v>
      </c>
      <c r="H94" s="41" t="s">
        <v>22</v>
      </c>
      <c r="I94" s="36" t="s">
        <v>22</v>
      </c>
      <c r="J94" s="35">
        <v>40.574112685518998</v>
      </c>
      <c r="K94" s="36">
        <v>39.074112685518998</v>
      </c>
      <c r="L94" s="31">
        <f ca="1">LOOKUP(2,1/(INDIRECT("'" &amp; A94&amp; "'!A4"):INDIRECT("'" &amp; A94 &amp; "'!A300")&lt;&gt;""),INDIRECT("'" &amp; A94 &amp; "'!A4"):INDIRECT("'" &amp; A94 &amp; "'!A300"))</f>
        <v>43378</v>
      </c>
    </row>
    <row r="95" spans="1:12" x14ac:dyDescent="0.25">
      <c r="A95" s="17" t="str">
        <f t="shared" si="9"/>
        <v>Trode (90)</v>
      </c>
      <c r="B95" s="25">
        <f ca="1">LOOKUP(2,1/(INDIRECT("'" &amp; A95 &amp; "'!C4"):INDIRECT("'" &amp; A95 &amp; "'!C300")&lt;&gt;""),INDIRECT("'" &amp; A95 &amp; "'!C4"):INDIRECT("'" &amp; A95 &amp; "'!C300"))</f>
        <v>0.25</v>
      </c>
      <c r="C95" s="11">
        <f t="shared" ca="1" si="8"/>
        <v>3.125E-2</v>
      </c>
      <c r="D95" s="35" t="s">
        <v>22</v>
      </c>
      <c r="E95" s="36" t="s">
        <v>22</v>
      </c>
      <c r="F95" s="35">
        <f t="shared" ca="1" si="10"/>
        <v>40.066193377672001</v>
      </c>
      <c r="G95" s="35">
        <f t="shared" ca="1" si="10"/>
        <v>38.566193377672001</v>
      </c>
      <c r="H95" s="41" t="s">
        <v>22</v>
      </c>
      <c r="I95" s="36" t="s">
        <v>22</v>
      </c>
      <c r="J95" s="35">
        <v>40.097443377672001</v>
      </c>
      <c r="K95" s="36">
        <v>38.597443377672001</v>
      </c>
      <c r="L95" s="31">
        <f ca="1">LOOKUP(2,1/(INDIRECT("'" &amp; A95&amp; "'!A4"):INDIRECT("'" &amp; A95 &amp; "'!A300")&lt;&gt;""),INDIRECT("'" &amp; A95 &amp; "'!A4"):INDIRECT("'" &amp; A95 &amp; "'!A300"))</f>
        <v>43572</v>
      </c>
    </row>
    <row r="96" spans="1:12" x14ac:dyDescent="0.25">
      <c r="A96" s="17" t="str">
        <f t="shared" si="9"/>
        <v>Trode (91)</v>
      </c>
      <c r="B96" s="25">
        <f ca="1">LOOKUP(2,1/(INDIRECT("'" &amp; A96 &amp; "'!C4"):INDIRECT("'" &amp; A96 &amp; "'!C300")&lt;&gt;""),INDIRECT("'" &amp; A96 &amp; "'!C4"):INDIRECT("'" &amp; A96 &amp; "'!C300"))</f>
        <v>0.25</v>
      </c>
      <c r="C96" s="11">
        <f t="shared" ca="1" si="8"/>
        <v>3.125E-2</v>
      </c>
      <c r="D96" s="35" t="s">
        <v>22</v>
      </c>
      <c r="E96" s="36" t="s">
        <v>22</v>
      </c>
      <c r="F96" s="35">
        <f t="shared" ca="1" si="10"/>
        <v>40.572715849188199</v>
      </c>
      <c r="G96" s="35">
        <f t="shared" ca="1" si="10"/>
        <v>39.072715849188199</v>
      </c>
      <c r="H96" s="41" t="s">
        <v>22</v>
      </c>
      <c r="I96" s="36" t="s">
        <v>22</v>
      </c>
      <c r="J96" s="35">
        <v>40.603965849188199</v>
      </c>
      <c r="K96" s="36">
        <v>39.103965849188199</v>
      </c>
      <c r="L96" s="31">
        <f ca="1">LOOKUP(2,1/(INDIRECT("'" &amp; A96&amp; "'!A4"):INDIRECT("'" &amp; A96 &amp; "'!A300")&lt;&gt;""),INDIRECT("'" &amp; A96 &amp; "'!A4"):INDIRECT("'" &amp; A96 &amp; "'!A300"))</f>
        <v>43572</v>
      </c>
    </row>
    <row r="97" spans="1:12" x14ac:dyDescent="0.25">
      <c r="A97" s="17" t="str">
        <f t="shared" si="9"/>
        <v>Trode (92)</v>
      </c>
      <c r="B97" s="25">
        <f ca="1">LOOKUP(2,1/(INDIRECT("'" &amp; A97 &amp; "'!C4"):INDIRECT("'" &amp; A97 &amp; "'!C300")&lt;&gt;""),INDIRECT("'" &amp; A97 &amp; "'!C4"):INDIRECT("'" &amp; A97 &amp; "'!C300"))</f>
        <v>1</v>
      </c>
      <c r="C97" s="11">
        <f t="shared" ca="1" si="8"/>
        <v>0.125</v>
      </c>
      <c r="D97" s="35" t="s">
        <v>22</v>
      </c>
      <c r="E97" s="36" t="s">
        <v>22</v>
      </c>
      <c r="F97" s="35">
        <f t="shared" ca="1" si="10"/>
        <v>40.540601690872201</v>
      </c>
      <c r="G97" s="35">
        <f t="shared" ca="1" si="10"/>
        <v>39.040601690872201</v>
      </c>
      <c r="H97" s="41" t="s">
        <v>22</v>
      </c>
      <c r="I97" s="36" t="s">
        <v>22</v>
      </c>
      <c r="J97" s="35">
        <v>40.665601690872201</v>
      </c>
      <c r="K97" s="36">
        <v>39.165601690872201</v>
      </c>
      <c r="L97" s="31">
        <f ca="1">LOOKUP(2,1/(INDIRECT("'" &amp; A97&amp; "'!A4"):INDIRECT("'" &amp; A97 &amp; "'!A300")&lt;&gt;""),INDIRECT("'" &amp; A97 &amp; "'!A4"):INDIRECT("'" &amp; A97 &amp; "'!A300"))</f>
        <v>43363</v>
      </c>
    </row>
    <row r="98" spans="1:12" x14ac:dyDescent="0.25">
      <c r="A98" s="17" t="str">
        <f t="shared" si="9"/>
        <v>Trode (93)</v>
      </c>
      <c r="B98" s="25">
        <f ca="1">LOOKUP(2,1/(INDIRECT("'" &amp; A98 &amp; "'!C4"):INDIRECT("'" &amp; A98 &amp; "'!C300")&lt;&gt;""),INDIRECT("'" &amp; A98 &amp; "'!C4"):INDIRECT("'" &amp; A98 &amp; "'!C300"))</f>
        <v>0.25</v>
      </c>
      <c r="C98" s="11">
        <f t="shared" ca="1" si="8"/>
        <v>3.125E-2</v>
      </c>
      <c r="D98" s="35" t="s">
        <v>22</v>
      </c>
      <c r="E98" s="36" t="s">
        <v>22</v>
      </c>
      <c r="F98" s="39" t="s">
        <v>22</v>
      </c>
      <c r="G98" s="39" t="s">
        <v>22</v>
      </c>
      <c r="H98" s="41" t="s">
        <v>22</v>
      </c>
      <c r="I98" s="36" t="s">
        <v>22</v>
      </c>
      <c r="J98" s="35" t="s">
        <v>22</v>
      </c>
      <c r="K98" s="36" t="s">
        <v>22</v>
      </c>
      <c r="L98" s="31">
        <f ca="1">LOOKUP(2,1/(INDIRECT("'" &amp; A98&amp; "'!A4"):INDIRECT("'" &amp; A98 &amp; "'!A300")&lt;&gt;""),INDIRECT("'" &amp; A98 &amp; "'!A4"):INDIRECT("'" &amp; A98 &amp; "'!A300"))</f>
        <v>43572</v>
      </c>
    </row>
    <row r="99" spans="1:12" x14ac:dyDescent="0.25">
      <c r="A99" s="17" t="str">
        <f t="shared" si="9"/>
        <v>Trode (94)</v>
      </c>
      <c r="B99" s="25">
        <f ca="1">LOOKUP(2,1/(INDIRECT("'" &amp; A99 &amp; "'!C4"):INDIRECT("'" &amp; A99 &amp; "'!C300")&lt;&gt;""),INDIRECT("'" &amp; A99 &amp; "'!C4"):INDIRECT("'" &amp; A99 &amp; "'!C300"))</f>
        <v>0.5</v>
      </c>
      <c r="C99" s="11">
        <f t="shared" ca="1" si="8"/>
        <v>6.25E-2</v>
      </c>
      <c r="D99" s="35" t="s">
        <v>22</v>
      </c>
      <c r="E99" s="36" t="s">
        <v>22</v>
      </c>
      <c r="F99" s="35">
        <f t="shared" ca="1" si="10"/>
        <v>40.788326876355903</v>
      </c>
      <c r="G99" s="35">
        <f t="shared" ca="1" si="10"/>
        <v>39.288326876355903</v>
      </c>
      <c r="H99" s="41" t="s">
        <v>22</v>
      </c>
      <c r="I99" s="36" t="s">
        <v>22</v>
      </c>
      <c r="J99" s="35">
        <v>40.850826876355903</v>
      </c>
      <c r="K99" s="36">
        <v>39.350826876355903</v>
      </c>
      <c r="L99" s="31">
        <f ca="1">LOOKUP(2,1/(INDIRECT("'" &amp; A99&amp; "'!A4"):INDIRECT("'" &amp; A99 &amp; "'!A300")&lt;&gt;""),INDIRECT("'" &amp; A99 &amp; "'!A4"):INDIRECT("'" &amp; A99 &amp; "'!A300"))</f>
        <v>43513</v>
      </c>
    </row>
    <row r="100" spans="1:12" x14ac:dyDescent="0.25">
      <c r="A100" s="17" t="str">
        <f t="shared" si="9"/>
        <v>Trode (95)</v>
      </c>
      <c r="B100" s="25">
        <f ca="1">LOOKUP(2,1/(INDIRECT("'" &amp; A100 &amp; "'!C4"):INDIRECT("'" &amp; A100 &amp; "'!C300")&lt;&gt;""),INDIRECT("'" &amp; A100 &amp; "'!C4"):INDIRECT("'" &amp; A100 &amp; "'!C300"))</f>
        <v>0.5</v>
      </c>
      <c r="C100" s="11">
        <f t="shared" ca="1" si="8"/>
        <v>6.25E-2</v>
      </c>
      <c r="D100" s="35" t="s">
        <v>22</v>
      </c>
      <c r="E100" s="36" t="s">
        <v>22</v>
      </c>
      <c r="F100" s="35">
        <f t="shared" ca="1" si="10"/>
        <v>41.198238280655602</v>
      </c>
      <c r="G100" s="35">
        <f t="shared" ca="1" si="10"/>
        <v>39.698238280655602</v>
      </c>
      <c r="H100" s="41" t="s">
        <v>22</v>
      </c>
      <c r="I100" s="36" t="s">
        <v>22</v>
      </c>
      <c r="J100" s="35">
        <v>41.260738280655602</v>
      </c>
      <c r="K100" s="36">
        <v>39.760738280655602</v>
      </c>
      <c r="L100" s="31">
        <f ca="1">LOOKUP(2,1/(INDIRECT("'" &amp; A100&amp; "'!A4"):INDIRECT("'" &amp; A100 &amp; "'!A300")&lt;&gt;""),INDIRECT("'" &amp; A100 &amp; "'!A4"):INDIRECT("'" &amp; A100 &amp; "'!A300"))</f>
        <v>43572</v>
      </c>
    </row>
    <row r="101" spans="1:12" ht="15.75" thickBot="1" x14ac:dyDescent="0.3">
      <c r="A101" s="17" t="str">
        <f t="shared" si="9"/>
        <v>Trode (96)</v>
      </c>
      <c r="B101" s="43" t="s">
        <v>24</v>
      </c>
      <c r="C101" s="44" t="e">
        <f t="shared" si="8"/>
        <v>#VALUE!</v>
      </c>
      <c r="D101" s="35" t="s">
        <v>22</v>
      </c>
      <c r="E101" s="36" t="s">
        <v>22</v>
      </c>
      <c r="F101" s="35" t="e">
        <f t="shared" si="10"/>
        <v>#VALUE!</v>
      </c>
      <c r="G101" s="35" t="e">
        <f t="shared" si="10"/>
        <v>#VALUE!</v>
      </c>
      <c r="H101" s="47" t="s">
        <v>22</v>
      </c>
      <c r="I101" s="37" t="s">
        <v>22</v>
      </c>
      <c r="J101" s="35">
        <v>40.929662972442003</v>
      </c>
      <c r="K101" s="36">
        <v>39.429662972442003</v>
      </c>
      <c r="L101" s="31">
        <f ca="1">LOOKUP(2,1/(INDIRECT("'" &amp; A101&amp; "'!A4"):INDIRECT("'" &amp; A101 &amp; "'!A300")&lt;&gt;""),INDIRECT("'" &amp; A101 &amp; "'!A4"):INDIRECT("'" &amp; A101 &amp; "'!A300"))</f>
        <v>43566</v>
      </c>
    </row>
    <row r="102" spans="1:12" x14ac:dyDescent="0.25">
      <c r="A102" s="42"/>
      <c r="B102" s="21"/>
      <c r="C102" s="11"/>
      <c r="D102" s="45"/>
      <c r="E102" s="46"/>
      <c r="F102" s="46"/>
      <c r="G102" s="46"/>
      <c r="J102" s="46"/>
      <c r="K102" s="46"/>
      <c r="L102" s="48"/>
    </row>
    <row r="103" spans="1:12" x14ac:dyDescent="0.25">
      <c r="A103" s="24"/>
      <c r="B103" s="21"/>
      <c r="C103" s="11"/>
    </row>
    <row r="104" spans="1:12" x14ac:dyDescent="0.25">
      <c r="A104" s="24"/>
      <c r="B104" s="21"/>
      <c r="C104" s="11"/>
    </row>
    <row r="105" spans="1:12" x14ac:dyDescent="0.25">
      <c r="A105" s="24"/>
      <c r="B105" s="21"/>
      <c r="C105" s="11"/>
    </row>
    <row r="106" spans="1:12" x14ac:dyDescent="0.25">
      <c r="A106" s="24"/>
      <c r="B106" s="21"/>
      <c r="C106" s="11"/>
    </row>
    <row r="107" spans="1:12" x14ac:dyDescent="0.25">
      <c r="A107" s="24"/>
      <c r="B107" s="21"/>
      <c r="C107" s="11"/>
    </row>
    <row r="108" spans="1:12" x14ac:dyDescent="0.25">
      <c r="A108" s="24"/>
      <c r="B108" s="21"/>
      <c r="C108" s="11"/>
    </row>
    <row r="109" spans="1:12" x14ac:dyDescent="0.25">
      <c r="A109" s="24"/>
      <c r="B109" s="21"/>
      <c r="C109" s="11"/>
    </row>
    <row r="110" spans="1:12" x14ac:dyDescent="0.25">
      <c r="A110" s="24"/>
      <c r="B110" s="21"/>
      <c r="C110" s="11"/>
    </row>
    <row r="111" spans="1:12" x14ac:dyDescent="0.25">
      <c r="A111" s="24"/>
      <c r="B111" s="21"/>
      <c r="C111" s="11"/>
    </row>
    <row r="112" spans="1:12" x14ac:dyDescent="0.25">
      <c r="A112" s="24"/>
      <c r="B112" s="21"/>
      <c r="C112" s="11"/>
    </row>
    <row r="113" spans="1:3" x14ac:dyDescent="0.25">
      <c r="A113" s="24"/>
      <c r="B113" s="21"/>
      <c r="C113" s="11"/>
    </row>
    <row r="114" spans="1:3" x14ac:dyDescent="0.25">
      <c r="A114" s="24"/>
      <c r="B114" s="21"/>
      <c r="C114" s="11"/>
    </row>
    <row r="115" spans="1:3" x14ac:dyDescent="0.25">
      <c r="A115" s="24"/>
      <c r="B115" s="21"/>
      <c r="C115" s="11"/>
    </row>
    <row r="116" spans="1:3" x14ac:dyDescent="0.25">
      <c r="A116" s="24"/>
      <c r="B116" s="21"/>
      <c r="C116" s="11"/>
    </row>
  </sheetData>
  <mergeCells count="4">
    <mergeCell ref="D4:E4"/>
    <mergeCell ref="F4:G4"/>
    <mergeCell ref="H4:I4"/>
    <mergeCell ref="J4:K4"/>
  </mergeCells>
  <conditionalFormatting sqref="B6:B26 B102:B116 B28:B74">
    <cfRule type="cellIs" dxfId="25" priority="54" operator="between">
      <formula>200</formula>
      <formula>500</formula>
    </cfRule>
  </conditionalFormatting>
  <conditionalFormatting sqref="B33">
    <cfRule type="cellIs" dxfId="24" priority="53" operator="between">
      <formula>200</formula>
      <formula>500</formula>
    </cfRule>
  </conditionalFormatting>
  <conditionalFormatting sqref="B41:B42">
    <cfRule type="cellIs" dxfId="23" priority="52" operator="between">
      <formula>200</formula>
      <formula>500</formula>
    </cfRule>
  </conditionalFormatting>
  <conditionalFormatting sqref="B47">
    <cfRule type="cellIs" dxfId="22" priority="51" operator="between">
      <formula>200</formula>
      <formula>500</formula>
    </cfRule>
  </conditionalFormatting>
  <conditionalFormatting sqref="B44">
    <cfRule type="cellIs" dxfId="21" priority="50" operator="between">
      <formula>200</formula>
      <formula>500</formula>
    </cfRule>
  </conditionalFormatting>
  <conditionalFormatting sqref="B75:B77">
    <cfRule type="cellIs" dxfId="20" priority="49" operator="between">
      <formula>200</formula>
      <formula>500</formula>
    </cfRule>
  </conditionalFormatting>
  <conditionalFormatting sqref="B27">
    <cfRule type="cellIs" dxfId="19" priority="48" operator="between">
      <formula>200</formula>
      <formula>500</formula>
    </cfRule>
  </conditionalFormatting>
  <conditionalFormatting sqref="L6:L77">
    <cfRule type="colorScale" priority="43">
      <colorScale>
        <cfvo type="min"/>
        <cfvo type="percentile" val="50"/>
        <cfvo type="max"/>
        <color theme="8" tint="0.39997558519241921"/>
        <color theme="9" tint="0.59999389629810485"/>
        <color rgb="FFFBF27D"/>
      </colorScale>
    </cfRule>
    <cfRule type="colorScale" priority="44">
      <colorScale>
        <cfvo type="min"/>
        <cfvo type="percentile" val="50"/>
        <cfvo type="max"/>
        <color theme="8" tint="0.39997558519241921"/>
        <color theme="9" tint="0.39997558519241921"/>
        <color theme="7" tint="0.59999389629810485"/>
      </colorScale>
    </cfRule>
    <cfRule type="colorScale" priority="45">
      <colorScale>
        <cfvo type="min"/>
        <cfvo type="percentile" val="50"/>
        <cfvo type="max"/>
        <color theme="4" tint="-0.249977111117893"/>
        <color theme="9" tint="0.39997558519241921"/>
        <color rgb="FFFFC000"/>
      </colorScale>
    </cfRule>
    <cfRule type="colorScale" priority="46">
      <colorScale>
        <cfvo type="min"/>
        <cfvo type="percentile" val="50"/>
        <cfvo type="max"/>
        <color theme="4" tint="0.39997558519241921"/>
        <color theme="9" tint="0.39997558519241921"/>
        <color theme="7" tint="0.59999389629810485"/>
      </colorScale>
    </cfRule>
    <cfRule type="colorScale" priority="47">
      <colorScale>
        <cfvo type="min"/>
        <cfvo type="max"/>
        <color rgb="FFFFEF9C"/>
        <color rgb="FF63BE7B"/>
      </colorScale>
    </cfRule>
  </conditionalFormatting>
  <conditionalFormatting sqref="B78:B101">
    <cfRule type="cellIs" dxfId="18" priority="42" operator="between">
      <formula>200</formula>
      <formula>500</formula>
    </cfRule>
  </conditionalFormatting>
  <conditionalFormatting sqref="D6:E101">
    <cfRule type="cellIs" dxfId="17" priority="35" operator="between">
      <formula>0</formula>
      <formula>100</formula>
    </cfRule>
    <cfRule type="cellIs" dxfId="16" priority="36" operator="between">
      <formula>0</formula>
      <formula>-100</formula>
    </cfRule>
  </conditionalFormatting>
  <conditionalFormatting sqref="F6">
    <cfRule type="cellIs" dxfId="15" priority="33" operator="between">
      <formula>0</formula>
      <formula>100</formula>
    </cfRule>
    <cfRule type="cellIs" dxfId="14" priority="34" operator="between">
      <formula>0</formula>
      <formula>-100</formula>
    </cfRule>
  </conditionalFormatting>
  <conditionalFormatting sqref="F7:F66">
    <cfRule type="cellIs" dxfId="13" priority="29" operator="between">
      <formula>0</formula>
      <formula>100</formula>
    </cfRule>
    <cfRule type="cellIs" dxfId="12" priority="30" operator="between">
      <formula>0</formula>
      <formula>-100</formula>
    </cfRule>
  </conditionalFormatting>
  <conditionalFormatting sqref="F67:F97 F99:F101">
    <cfRule type="cellIs" dxfId="11" priority="27" operator="between">
      <formula>0</formula>
      <formula>100</formula>
    </cfRule>
    <cfRule type="cellIs" dxfId="10" priority="28" operator="between">
      <formula>0</formula>
      <formula>-100</formula>
    </cfRule>
  </conditionalFormatting>
  <conditionalFormatting sqref="F98">
    <cfRule type="cellIs" dxfId="9" priority="25" operator="between">
      <formula>0</formula>
      <formula>100</formula>
    </cfRule>
    <cfRule type="cellIs" dxfId="8" priority="26" operator="between">
      <formula>0</formula>
      <formula>-100</formula>
    </cfRule>
  </conditionalFormatting>
  <conditionalFormatting sqref="G6">
    <cfRule type="cellIs" dxfId="7" priority="15" operator="between">
      <formula>0</formula>
      <formula>100</formula>
    </cfRule>
    <cfRule type="cellIs" dxfId="6" priority="16" operator="between">
      <formula>0</formula>
      <formula>-100</formula>
    </cfRule>
  </conditionalFormatting>
  <conditionalFormatting sqref="G7:G66">
    <cfRule type="cellIs" dxfId="5" priority="13" operator="between">
      <formula>0</formula>
      <formula>100</formula>
    </cfRule>
    <cfRule type="cellIs" dxfId="4" priority="14" operator="between">
      <formula>0</formula>
      <formula>-100</formula>
    </cfRule>
  </conditionalFormatting>
  <conditionalFormatting sqref="G67:G97 G99:G101">
    <cfRule type="cellIs" dxfId="3" priority="11" operator="between">
      <formula>0</formula>
      <formula>100</formula>
    </cfRule>
    <cfRule type="cellIs" dxfId="2" priority="12" operator="between">
      <formula>0</formula>
      <formula>-100</formula>
    </cfRule>
  </conditionalFormatting>
  <conditionalFormatting sqref="G98">
    <cfRule type="cellIs" dxfId="1" priority="9" operator="between">
      <formula>0</formula>
      <formula>100</formula>
    </cfRule>
    <cfRule type="cellIs" dxfId="0" priority="10" operator="between">
      <formula>0</formula>
      <formula>-100</formula>
    </cfRule>
  </conditionalFormatting>
  <conditionalFormatting sqref="L78:L101">
    <cfRule type="colorScale" priority="55">
      <colorScale>
        <cfvo type="min"/>
        <cfvo type="percentile" val="50"/>
        <cfvo type="max"/>
        <color theme="8" tint="0.39997558519241921"/>
        <color theme="9" tint="0.59999389629810485"/>
        <color rgb="FFFBF27D"/>
      </colorScale>
    </cfRule>
    <cfRule type="colorScale" priority="56">
      <colorScale>
        <cfvo type="min"/>
        <cfvo type="percentile" val="50"/>
        <cfvo type="max"/>
        <color theme="8" tint="0.39997558519241921"/>
        <color theme="9" tint="0.39997558519241921"/>
        <color theme="7" tint="0.59999389629810485"/>
      </colorScale>
    </cfRule>
    <cfRule type="colorScale" priority="57">
      <colorScale>
        <cfvo type="min"/>
        <cfvo type="percentile" val="50"/>
        <cfvo type="max"/>
        <color theme="4" tint="-0.249977111117893"/>
        <color theme="9" tint="0.39997558519241921"/>
        <color rgb="FFFFC000"/>
      </colorScale>
    </cfRule>
    <cfRule type="colorScale" priority="58">
      <colorScale>
        <cfvo type="min"/>
        <cfvo type="percentile" val="50"/>
        <cfvo type="max"/>
        <color theme="4" tint="0.39997558519241921"/>
        <color theme="9" tint="0.39997558519241921"/>
        <color theme="7" tint="0.59999389629810485"/>
      </colorScale>
    </cfRule>
    <cfRule type="colorScale" priority="59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scale="97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B22" sqref="B22:C2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25</v>
      </c>
      <c r="C4" s="5">
        <v>60</v>
      </c>
      <c r="D4" s="5">
        <f t="shared" ref="D4:D67" si="0">C4/8</f>
        <v>7.5</v>
      </c>
    </row>
    <row r="5" spans="1:9" x14ac:dyDescent="0.25">
      <c r="A5" s="10">
        <v>43326</v>
      </c>
      <c r="B5" s="5" t="s">
        <v>58</v>
      </c>
      <c r="C5" s="5">
        <v>1</v>
      </c>
      <c r="D5" s="5">
        <f t="shared" si="0"/>
        <v>0.125</v>
      </c>
    </row>
    <row r="6" spans="1:9" x14ac:dyDescent="0.25">
      <c r="A6" s="10">
        <v>43332</v>
      </c>
      <c r="B6" s="5" t="s">
        <v>79</v>
      </c>
      <c r="C6" s="5">
        <v>-15.2</v>
      </c>
      <c r="D6" s="5">
        <v>-1.9</v>
      </c>
    </row>
    <row r="7" spans="1:9" x14ac:dyDescent="0.25">
      <c r="A7" s="10">
        <v>43333</v>
      </c>
      <c r="B7" s="5" t="s">
        <v>58</v>
      </c>
      <c r="C7" s="5">
        <v>2</v>
      </c>
      <c r="D7" s="5">
        <f t="shared" si="0"/>
        <v>0.25</v>
      </c>
    </row>
    <row r="8" spans="1:9" x14ac:dyDescent="0.25">
      <c r="A8" s="10">
        <v>43363</v>
      </c>
      <c r="B8" s="5" t="s">
        <v>26</v>
      </c>
      <c r="C8" s="5">
        <v>4</v>
      </c>
      <c r="D8" s="5">
        <f t="shared" si="0"/>
        <v>0.5</v>
      </c>
    </row>
    <row r="9" spans="1:9" x14ac:dyDescent="0.25">
      <c r="A9" s="10">
        <v>43418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43513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43520</v>
      </c>
      <c r="B11" s="5" t="s">
        <v>88</v>
      </c>
      <c r="C11" s="5">
        <v>0.25</v>
      </c>
      <c r="D11" s="5">
        <f t="shared" si="0"/>
        <v>3.125E-2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A15" s="10"/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8"/>
  <sheetViews>
    <sheetView workbookViewId="0">
      <selection activeCell="A26" sqref="A26:XFD26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84</v>
      </c>
      <c r="D4" s="5">
        <f t="shared" ref="D4:D66" si="0">C4/8</f>
        <v>10.5</v>
      </c>
    </row>
    <row r="5" spans="1:9" x14ac:dyDescent="0.25">
      <c r="A5" s="10">
        <v>43319</v>
      </c>
      <c r="B5" s="5" t="s">
        <v>58</v>
      </c>
      <c r="C5" s="5">
        <v>-24</v>
      </c>
      <c r="D5" s="5">
        <f t="shared" si="0"/>
        <v>-3</v>
      </c>
    </row>
    <row r="6" spans="1:9" x14ac:dyDescent="0.25">
      <c r="A6" s="10">
        <v>43325</v>
      </c>
      <c r="B6" s="5" t="s">
        <v>26</v>
      </c>
      <c r="C6" s="5">
        <v>0.25</v>
      </c>
      <c r="D6" s="5">
        <f t="shared" si="0"/>
        <v>3.125E-2</v>
      </c>
    </row>
    <row r="7" spans="1:9" x14ac:dyDescent="0.25">
      <c r="A7" s="10">
        <v>43332</v>
      </c>
      <c r="B7" s="5" t="s">
        <v>26</v>
      </c>
      <c r="C7" s="5">
        <v>0.5</v>
      </c>
      <c r="D7" s="5">
        <f t="shared" si="0"/>
        <v>6.25E-2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0.5</v>
      </c>
      <c r="D9" s="5">
        <f t="shared" si="0"/>
        <v>6.25E-2</v>
      </c>
    </row>
    <row r="10" spans="1:9" x14ac:dyDescent="0.25">
      <c r="A10" s="10">
        <v>43374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43390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43476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43516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43523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43536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43549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43551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43558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A23" s="10">
        <v>43564</v>
      </c>
      <c r="B23" s="5" t="s">
        <v>26</v>
      </c>
      <c r="C23" s="5">
        <v>0.25</v>
      </c>
      <c r="D23" s="5">
        <f t="shared" si="0"/>
        <v>3.125E-2</v>
      </c>
    </row>
    <row r="24" spans="1:4" x14ac:dyDescent="0.25">
      <c r="A24" s="10">
        <v>43566</v>
      </c>
      <c r="B24" s="5" t="s">
        <v>26</v>
      </c>
      <c r="C24" s="5">
        <v>0.5</v>
      </c>
      <c r="D24" s="5">
        <f t="shared" si="0"/>
        <v>6.25E-2</v>
      </c>
    </row>
    <row r="25" spans="1:4" x14ac:dyDescent="0.25">
      <c r="A25" s="10">
        <v>43570</v>
      </c>
      <c r="B25" s="5" t="s">
        <v>88</v>
      </c>
      <c r="C25" s="5">
        <v>0.25</v>
      </c>
      <c r="D25" s="5">
        <f t="shared" si="0"/>
        <v>3.125E-2</v>
      </c>
    </row>
    <row r="26" spans="1:4" x14ac:dyDescent="0.25">
      <c r="A26" s="10">
        <v>43572</v>
      </c>
      <c r="B26" s="5" t="s">
        <v>88</v>
      </c>
      <c r="C26" s="5">
        <v>0.25</v>
      </c>
      <c r="D26" s="5">
        <f t="shared" si="0"/>
        <v>3.125E-2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ref="D67:D78" si="1">C67/8</f>
        <v>0</v>
      </c>
    </row>
    <row r="68" spans="4:4" x14ac:dyDescent="0.25">
      <c r="D68" s="5">
        <f t="shared" si="1"/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2" sqref="A22:XFD2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80</v>
      </c>
      <c r="D4" s="5">
        <f t="shared" ref="D4:D67" si="0">C4/8</f>
        <v>10</v>
      </c>
    </row>
    <row r="5" spans="1:9" x14ac:dyDescent="0.25">
      <c r="A5" s="10">
        <v>43320</v>
      </c>
      <c r="B5" s="5" t="s">
        <v>58</v>
      </c>
      <c r="C5" s="5">
        <v>0.5</v>
      </c>
      <c r="D5" s="5">
        <f t="shared" si="0"/>
        <v>6.25E-2</v>
      </c>
    </row>
    <row r="6" spans="1:9" x14ac:dyDescent="0.25">
      <c r="A6" s="10">
        <v>43326</v>
      </c>
      <c r="B6" s="5" t="s">
        <v>58</v>
      </c>
      <c r="C6" s="5">
        <v>0.25</v>
      </c>
      <c r="D6" s="5">
        <f t="shared" si="0"/>
        <v>3.125E-2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43333</v>
      </c>
      <c r="B8" s="5" t="s">
        <v>58</v>
      </c>
      <c r="C8" s="5">
        <v>0.5</v>
      </c>
      <c r="D8" s="5">
        <f t="shared" si="0"/>
        <v>6.25E-2</v>
      </c>
    </row>
    <row r="9" spans="1:9" x14ac:dyDescent="0.25">
      <c r="A9" s="10">
        <v>43363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43376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43405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43475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43495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43550</v>
      </c>
      <c r="B18" s="5" t="s">
        <v>88</v>
      </c>
      <c r="C18" s="5">
        <v>0.25</v>
      </c>
      <c r="D18" s="5">
        <f>C18/8</f>
        <v>3.125E-2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ref="D19:D20" si="1">C19/8</f>
        <v>3.125E-2</v>
      </c>
    </row>
    <row r="20" spans="1:4" x14ac:dyDescent="0.25">
      <c r="A20" s="10">
        <v>43566</v>
      </c>
      <c r="B20" s="5" t="s">
        <v>26</v>
      </c>
      <c r="C20" s="5">
        <v>0.5</v>
      </c>
      <c r="D20" s="5">
        <f t="shared" si="1"/>
        <v>6.25E-2</v>
      </c>
    </row>
    <row r="21" spans="1:4" x14ac:dyDescent="0.25">
      <c r="A21" s="10">
        <v>43570</v>
      </c>
      <c r="B21" s="5" t="s">
        <v>88</v>
      </c>
      <c r="C21" s="5">
        <v>0.25</v>
      </c>
      <c r="D21" s="5">
        <f t="shared" ref="D21:D22" si="2">C21/8</f>
        <v>3.125E-2</v>
      </c>
    </row>
    <row r="22" spans="1:4" x14ac:dyDescent="0.25">
      <c r="A22" s="10">
        <v>43572</v>
      </c>
      <c r="B22" s="5" t="s">
        <v>88</v>
      </c>
      <c r="C22" s="5">
        <v>0.25</v>
      </c>
      <c r="D22" s="5">
        <f t="shared" si="2"/>
        <v>3.125E-2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3">C68/8</f>
        <v>0</v>
      </c>
    </row>
    <row r="69" spans="4:4" x14ac:dyDescent="0.25">
      <c r="D69" s="5">
        <f t="shared" si="3"/>
        <v>0</v>
      </c>
    </row>
    <row r="70" spans="4:4" x14ac:dyDescent="0.25">
      <c r="D70" s="5">
        <f t="shared" si="3"/>
        <v>0</v>
      </c>
    </row>
    <row r="71" spans="4:4" x14ac:dyDescent="0.25">
      <c r="D71" s="5">
        <f t="shared" si="3"/>
        <v>0</v>
      </c>
    </row>
    <row r="72" spans="4:4" x14ac:dyDescent="0.25">
      <c r="D72" s="5">
        <f t="shared" si="3"/>
        <v>0</v>
      </c>
    </row>
    <row r="73" spans="4:4" x14ac:dyDescent="0.25">
      <c r="D73" s="5">
        <f t="shared" si="3"/>
        <v>0</v>
      </c>
    </row>
    <row r="74" spans="4:4" x14ac:dyDescent="0.25">
      <c r="D74" s="5">
        <f t="shared" si="3"/>
        <v>0</v>
      </c>
    </row>
    <row r="75" spans="4:4" x14ac:dyDescent="0.25">
      <c r="D75" s="5">
        <f t="shared" si="3"/>
        <v>0</v>
      </c>
    </row>
    <row r="76" spans="4:4" x14ac:dyDescent="0.25">
      <c r="D76" s="5">
        <f t="shared" si="3"/>
        <v>0</v>
      </c>
    </row>
    <row r="77" spans="4:4" x14ac:dyDescent="0.25">
      <c r="D77" s="5">
        <f t="shared" si="3"/>
        <v>0</v>
      </c>
    </row>
    <row r="78" spans="4:4" x14ac:dyDescent="0.25">
      <c r="D78" s="5">
        <f t="shared" si="3"/>
        <v>0</v>
      </c>
    </row>
    <row r="79" spans="4:4" x14ac:dyDescent="0.25">
      <c r="D79" s="5">
        <f t="shared" si="3"/>
        <v>0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topLeftCell="A4" workbookViewId="0">
      <selection activeCell="A25" sqref="A25:XFD25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96</v>
      </c>
      <c r="D4" s="5">
        <f t="shared" ref="D4:D67" si="0">C4/8</f>
        <v>12</v>
      </c>
    </row>
    <row r="5" spans="1:9" x14ac:dyDescent="0.25">
      <c r="A5" s="10">
        <v>43319</v>
      </c>
      <c r="B5" s="5" t="s">
        <v>58</v>
      </c>
      <c r="C5" s="5">
        <v>-16</v>
      </c>
      <c r="D5" s="5">
        <f t="shared" si="0"/>
        <v>-2</v>
      </c>
    </row>
    <row r="6" spans="1:9" x14ac:dyDescent="0.25">
      <c r="A6" s="10">
        <v>43326</v>
      </c>
      <c r="B6" s="5" t="s">
        <v>58</v>
      </c>
      <c r="C6" s="5">
        <v>0.25</v>
      </c>
      <c r="D6" s="5">
        <f t="shared" si="0"/>
        <v>3.125E-2</v>
      </c>
    </row>
    <row r="7" spans="1:9" x14ac:dyDescent="0.25">
      <c r="A7" s="10">
        <v>43332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43363</v>
      </c>
      <c r="B9" s="5" t="s">
        <v>26</v>
      </c>
      <c r="C9" s="5">
        <v>1</v>
      </c>
      <c r="D9" s="5">
        <f t="shared" si="0"/>
        <v>0.125</v>
      </c>
    </row>
    <row r="10" spans="1:9" x14ac:dyDescent="0.25">
      <c r="A10" s="10">
        <v>43375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43391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43475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43523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43551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43558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43564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43566</v>
      </c>
      <c r="B23" s="5" t="s">
        <v>26</v>
      </c>
      <c r="C23" s="5">
        <v>0.5</v>
      </c>
      <c r="D23" s="5">
        <f t="shared" si="0"/>
        <v>6.25E-2</v>
      </c>
    </row>
    <row r="24" spans="1:4" x14ac:dyDescent="0.25">
      <c r="A24" s="10">
        <v>43570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A25" s="10">
        <v>43572</v>
      </c>
      <c r="B25" s="5" t="s">
        <v>88</v>
      </c>
      <c r="C25" s="5">
        <v>0.25</v>
      </c>
      <c r="D25" s="5">
        <f t="shared" si="0"/>
        <v>3.125E-2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64.75</v>
      </c>
      <c r="D4" s="5">
        <f t="shared" ref="D4:D68" si="0">C4/8</f>
        <v>8.09375</v>
      </c>
    </row>
    <row r="5" spans="1:9" x14ac:dyDescent="0.25">
      <c r="A5" s="10">
        <v>43319</v>
      </c>
      <c r="B5" s="5" t="s">
        <v>58</v>
      </c>
      <c r="C5" s="5">
        <v>-4</v>
      </c>
      <c r="D5" s="5">
        <f t="shared" si="0"/>
        <v>-0.5</v>
      </c>
    </row>
    <row r="6" spans="1:9" x14ac:dyDescent="0.25">
      <c r="A6" s="10">
        <v>43325</v>
      </c>
      <c r="B6" s="5" t="s">
        <v>26</v>
      </c>
      <c r="C6" s="5">
        <v>0.25</v>
      </c>
      <c r="D6" s="5">
        <f t="shared" si="0"/>
        <v>3.125E-2</v>
      </c>
    </row>
    <row r="7" spans="1:9" x14ac:dyDescent="0.25">
      <c r="A7" s="10">
        <v>43332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43390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43476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43489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43493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43516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43523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43551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43558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0.5</v>
      </c>
      <c r="D21" s="5">
        <f t="shared" si="0"/>
        <v>6.25E-2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84</v>
      </c>
      <c r="D4" s="5">
        <f t="shared" ref="D4:D67" si="0">C4/8</f>
        <v>10.5</v>
      </c>
    </row>
    <row r="5" spans="1:9" x14ac:dyDescent="0.25">
      <c r="A5" s="10">
        <v>43320</v>
      </c>
      <c r="B5" s="5" t="s">
        <v>58</v>
      </c>
      <c r="C5" s="5">
        <v>0.5</v>
      </c>
      <c r="D5" s="5">
        <f t="shared" si="0"/>
        <v>6.25E-2</v>
      </c>
    </row>
    <row r="6" spans="1:9" x14ac:dyDescent="0.25">
      <c r="A6" s="10">
        <v>43326</v>
      </c>
      <c r="B6" s="5" t="s">
        <v>58</v>
      </c>
      <c r="C6" s="5">
        <v>0.5</v>
      </c>
      <c r="D6" s="5">
        <f t="shared" si="0"/>
        <v>6.25E-2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43333</v>
      </c>
      <c r="B8" s="5" t="s">
        <v>58</v>
      </c>
      <c r="C8" s="5">
        <v>0.25</v>
      </c>
      <c r="D8" s="5">
        <f t="shared" si="0"/>
        <v>3.125E-2</v>
      </c>
    </row>
    <row r="9" spans="1:9" x14ac:dyDescent="0.25">
      <c r="A9" s="10">
        <v>43363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43375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43475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43495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43551</v>
      </c>
      <c r="B17" s="5" t="s">
        <v>88</v>
      </c>
      <c r="C17" s="5">
        <v>0.25</v>
      </c>
      <c r="D17" s="5">
        <f>C17/8</f>
        <v>3.125E-2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ref="D18:D21" si="1">C18/8</f>
        <v>3.125E-2</v>
      </c>
    </row>
    <row r="19" spans="1:4" x14ac:dyDescent="0.25">
      <c r="A19" s="10">
        <v>43566</v>
      </c>
      <c r="B19" s="5" t="s">
        <v>26</v>
      </c>
      <c r="C19" s="5">
        <v>0.25</v>
      </c>
      <c r="D19" s="5">
        <f t="shared" si="1"/>
        <v>3.125E-2</v>
      </c>
    </row>
    <row r="20" spans="1:4" x14ac:dyDescent="0.25">
      <c r="A20" s="10">
        <v>43570</v>
      </c>
      <c r="B20" s="5" t="s">
        <v>88</v>
      </c>
      <c r="C20" s="5">
        <v>0.25</v>
      </c>
      <c r="D20" s="5">
        <f t="shared" si="1"/>
        <v>3.125E-2</v>
      </c>
    </row>
    <row r="21" spans="1:4" x14ac:dyDescent="0.25">
      <c r="A21" s="10">
        <v>43572</v>
      </c>
      <c r="B21" s="5" t="s">
        <v>88</v>
      </c>
      <c r="C21" s="5">
        <v>0.25</v>
      </c>
      <c r="D21" s="5">
        <f t="shared" si="1"/>
        <v>3.125E-2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>C24/8</f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2">C68/8</f>
        <v>0</v>
      </c>
    </row>
    <row r="69" spans="4:4" x14ac:dyDescent="0.25">
      <c r="D69" s="5">
        <f t="shared" si="2"/>
        <v>0</v>
      </c>
    </row>
    <row r="70" spans="4:4" x14ac:dyDescent="0.25">
      <c r="D70" s="5">
        <f t="shared" si="2"/>
        <v>0</v>
      </c>
    </row>
    <row r="71" spans="4:4" x14ac:dyDescent="0.25">
      <c r="D71" s="5">
        <f t="shared" si="2"/>
        <v>0</v>
      </c>
    </row>
    <row r="72" spans="4:4" x14ac:dyDescent="0.25">
      <c r="D72" s="5">
        <f t="shared" si="2"/>
        <v>0</v>
      </c>
    </row>
    <row r="73" spans="4:4" x14ac:dyDescent="0.25">
      <c r="D73" s="5">
        <f t="shared" si="2"/>
        <v>0</v>
      </c>
    </row>
    <row r="74" spans="4:4" x14ac:dyDescent="0.25">
      <c r="D74" s="5">
        <f t="shared" si="2"/>
        <v>0</v>
      </c>
    </row>
    <row r="75" spans="4:4" x14ac:dyDescent="0.25">
      <c r="D75" s="5">
        <f t="shared" si="2"/>
        <v>0</v>
      </c>
    </row>
    <row r="76" spans="4:4" x14ac:dyDescent="0.25">
      <c r="D76" s="5">
        <f t="shared" si="2"/>
        <v>0</v>
      </c>
    </row>
    <row r="77" spans="4:4" x14ac:dyDescent="0.25">
      <c r="D77" s="5">
        <f t="shared" si="2"/>
        <v>0</v>
      </c>
    </row>
    <row r="78" spans="4:4" x14ac:dyDescent="0.25">
      <c r="D78" s="5">
        <f t="shared" si="2"/>
        <v>0</v>
      </c>
    </row>
    <row r="79" spans="4:4" x14ac:dyDescent="0.25">
      <c r="D79" s="5">
        <f t="shared" si="2"/>
        <v>0</v>
      </c>
    </row>
  </sheetData>
  <mergeCells count="1">
    <mergeCell ref="A1:B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43251</v>
      </c>
      <c r="B4" s="5" t="s">
        <v>26</v>
      </c>
      <c r="C4" s="5">
        <v>78</v>
      </c>
      <c r="D4" s="5">
        <f t="shared" ref="D4:D67" si="0">C4/8</f>
        <v>9.75</v>
      </c>
    </row>
    <row r="5" spans="1:9" x14ac:dyDescent="0.25">
      <c r="A5" s="10">
        <v>43319</v>
      </c>
      <c r="B5" s="5" t="s">
        <v>58</v>
      </c>
      <c r="C5" s="5">
        <v>1</v>
      </c>
      <c r="D5" s="5">
        <f t="shared" si="0"/>
        <v>0.125</v>
      </c>
    </row>
    <row r="6" spans="1:9" x14ac:dyDescent="0.25">
      <c r="A6" s="10">
        <v>43325</v>
      </c>
      <c r="B6" s="5" t="s">
        <v>26</v>
      </c>
      <c r="C6" s="5">
        <v>0.25</v>
      </c>
      <c r="D6" s="5">
        <f t="shared" si="0"/>
        <v>3.125E-2</v>
      </c>
    </row>
    <row r="7" spans="1:9" x14ac:dyDescent="0.25">
      <c r="A7" s="10">
        <v>43332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26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43374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43390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43484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43523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ref="D19" si="1">C19/8</f>
        <v>3.125E-2</v>
      </c>
    </row>
    <row r="20" spans="1:4" x14ac:dyDescent="0.25">
      <c r="A20" s="10">
        <v>43551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43558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43564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43566</v>
      </c>
      <c r="B23" s="5" t="s">
        <v>26</v>
      </c>
      <c r="C23" s="5">
        <v>0.25</v>
      </c>
      <c r="D23" s="5">
        <f t="shared" si="0"/>
        <v>3.125E-2</v>
      </c>
    </row>
    <row r="24" spans="1:4" x14ac:dyDescent="0.25">
      <c r="A24" s="10">
        <v>43570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2">C68/8</f>
        <v>0</v>
      </c>
    </row>
    <row r="69" spans="4:4" x14ac:dyDescent="0.25">
      <c r="D69" s="5">
        <f t="shared" si="2"/>
        <v>0</v>
      </c>
    </row>
    <row r="70" spans="4:4" x14ac:dyDescent="0.25">
      <c r="D70" s="5">
        <f t="shared" si="2"/>
        <v>0</v>
      </c>
    </row>
    <row r="71" spans="4:4" x14ac:dyDescent="0.25">
      <c r="D71" s="5">
        <f t="shared" si="2"/>
        <v>0</v>
      </c>
    </row>
    <row r="72" spans="4:4" x14ac:dyDescent="0.25">
      <c r="D72" s="5">
        <f t="shared" si="2"/>
        <v>0</v>
      </c>
    </row>
    <row r="73" spans="4:4" x14ac:dyDescent="0.25">
      <c r="D73" s="5">
        <f t="shared" si="2"/>
        <v>0</v>
      </c>
    </row>
    <row r="74" spans="4:4" x14ac:dyDescent="0.25">
      <c r="D74" s="5">
        <f t="shared" si="2"/>
        <v>0</v>
      </c>
    </row>
    <row r="75" spans="4:4" x14ac:dyDescent="0.25">
      <c r="D75" s="5">
        <f t="shared" si="2"/>
        <v>0</v>
      </c>
    </row>
    <row r="76" spans="4:4" x14ac:dyDescent="0.25">
      <c r="D76" s="5">
        <f t="shared" si="2"/>
        <v>0</v>
      </c>
    </row>
    <row r="77" spans="4:4" x14ac:dyDescent="0.25">
      <c r="D77" s="5">
        <f t="shared" si="2"/>
        <v>0</v>
      </c>
    </row>
    <row r="78" spans="4:4" x14ac:dyDescent="0.25">
      <c r="D78" s="5">
        <f t="shared" si="2"/>
        <v>0</v>
      </c>
    </row>
    <row r="79" spans="4:4" x14ac:dyDescent="0.25">
      <c r="D79" s="5">
        <f t="shared" si="2"/>
        <v>0</v>
      </c>
    </row>
  </sheetData>
  <mergeCells count="1">
    <mergeCell ref="A1: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3" width="10.7109375" style="5" customWidth="1"/>
    <col min="4" max="4" width="15" style="5" customWidth="1"/>
    <col min="5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68</v>
      </c>
      <c r="D4" s="5">
        <f t="shared" ref="D4:D67" si="0">C4/8</f>
        <v>8.5</v>
      </c>
    </row>
    <row r="5" spans="1:9" x14ac:dyDescent="0.25">
      <c r="A5" s="10">
        <v>43318</v>
      </c>
      <c r="B5" s="5" t="s">
        <v>26</v>
      </c>
      <c r="C5" s="5">
        <v>2</v>
      </c>
      <c r="D5" s="5">
        <v>0.25</v>
      </c>
    </row>
    <row r="6" spans="1:9" x14ac:dyDescent="0.25">
      <c r="A6" s="10">
        <v>43325</v>
      </c>
      <c r="B6" s="5" t="s">
        <v>26</v>
      </c>
      <c r="C6" s="5">
        <v>2</v>
      </c>
      <c r="D6" s="5">
        <f t="shared" si="0"/>
        <v>0.25</v>
      </c>
    </row>
    <row r="7" spans="1:9" x14ac:dyDescent="0.25">
      <c r="A7" s="10">
        <v>43332</v>
      </c>
      <c r="B7" s="5" t="s">
        <v>26</v>
      </c>
      <c r="C7" s="5">
        <v>0.5</v>
      </c>
      <c r="D7" s="5">
        <f t="shared" si="0"/>
        <v>6.25E-2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1</v>
      </c>
      <c r="D9" s="5">
        <f t="shared" si="0"/>
        <v>0.125</v>
      </c>
    </row>
    <row r="10" spans="1:9" x14ac:dyDescent="0.25">
      <c r="A10" s="10">
        <v>43389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43513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43516</v>
      </c>
      <c r="B12" s="5" t="s">
        <v>26</v>
      </c>
      <c r="C12" s="5">
        <v>0.25</v>
      </c>
      <c r="D12" s="5">
        <f t="shared" si="0"/>
        <v>3.125E-2</v>
      </c>
    </row>
    <row r="13" spans="1:9" x14ac:dyDescent="0.25">
      <c r="A13" s="10">
        <v>43520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43536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43549</v>
      </c>
      <c r="B15" s="5" t="s">
        <v>88</v>
      </c>
      <c r="C15" s="5">
        <v>0.5</v>
      </c>
      <c r="D15" s="5">
        <f t="shared" si="0"/>
        <v>6.25E-2</v>
      </c>
    </row>
    <row r="16" spans="1:9" x14ac:dyDescent="0.25">
      <c r="A16" s="10">
        <v>43550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43551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43558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43566</v>
      </c>
      <c r="B20" s="5" t="s">
        <v>26</v>
      </c>
      <c r="C20" s="5">
        <v>0.5</v>
      </c>
      <c r="D20" s="5">
        <f t="shared" si="0"/>
        <v>6.25E-2</v>
      </c>
    </row>
    <row r="21" spans="1:4" x14ac:dyDescent="0.25">
      <c r="A21" s="10">
        <v>43570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5" sqref="A25:XFD25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9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60</v>
      </c>
      <c r="D4" s="5">
        <f t="shared" ref="D4:D67" si="0">C4/8</f>
        <v>7.5</v>
      </c>
    </row>
    <row r="5" spans="1:9" x14ac:dyDescent="0.25">
      <c r="A5" s="10">
        <v>43311</v>
      </c>
      <c r="B5" s="5" t="s">
        <v>26</v>
      </c>
      <c r="C5" s="5">
        <v>24</v>
      </c>
      <c r="D5" s="5">
        <f t="shared" si="0"/>
        <v>3</v>
      </c>
      <c r="I5" s="5" t="s">
        <v>64</v>
      </c>
    </row>
    <row r="6" spans="1:9" x14ac:dyDescent="0.25">
      <c r="A6" s="10">
        <v>43326</v>
      </c>
      <c r="B6" s="5" t="s">
        <v>58</v>
      </c>
      <c r="C6" s="5">
        <v>1</v>
      </c>
      <c r="D6" s="5">
        <f t="shared" si="0"/>
        <v>0.125</v>
      </c>
    </row>
    <row r="7" spans="1:9" x14ac:dyDescent="0.25">
      <c r="A7" s="10">
        <v>43332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43363</v>
      </c>
      <c r="B9" s="5" t="s">
        <v>26</v>
      </c>
      <c r="C9" s="5">
        <v>1</v>
      </c>
      <c r="D9" s="5">
        <f t="shared" si="0"/>
        <v>0.125</v>
      </c>
    </row>
    <row r="10" spans="1:9" x14ac:dyDescent="0.25">
      <c r="A10" s="10">
        <v>43375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43391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43475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0.5</v>
      </c>
      <c r="D14" s="5">
        <f t="shared" si="0"/>
        <v>6.25E-2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43523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43550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43551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43558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A22" s="10">
        <v>43564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43566</v>
      </c>
      <c r="B23" s="5" t="s">
        <v>26</v>
      </c>
      <c r="C23" s="5">
        <v>0.25</v>
      </c>
      <c r="D23" s="5">
        <f t="shared" si="0"/>
        <v>3.125E-2</v>
      </c>
    </row>
    <row r="24" spans="1:4" x14ac:dyDescent="0.25">
      <c r="A24" s="10">
        <v>43570</v>
      </c>
      <c r="B24" s="5" t="s">
        <v>88</v>
      </c>
      <c r="C24" s="5">
        <v>0.5</v>
      </c>
      <c r="D24" s="5">
        <f t="shared" si="0"/>
        <v>6.25E-2</v>
      </c>
    </row>
    <row r="25" spans="1:4" x14ac:dyDescent="0.25">
      <c r="A25" s="10">
        <v>43572</v>
      </c>
      <c r="B25" s="5" t="s">
        <v>88</v>
      </c>
      <c r="C25" s="5">
        <v>0.5</v>
      </c>
      <c r="D25" s="5">
        <f t="shared" si="0"/>
        <v>6.25E-2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16" sqref="A16:XFD16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10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72</v>
      </c>
      <c r="D4" s="5">
        <f t="shared" ref="D4:D67" si="0">C4/8</f>
        <v>9</v>
      </c>
    </row>
    <row r="5" spans="1:9" x14ac:dyDescent="0.25">
      <c r="A5" s="10">
        <v>43325</v>
      </c>
      <c r="B5" s="5" t="s">
        <v>26</v>
      </c>
      <c r="C5" s="5">
        <v>2</v>
      </c>
      <c r="D5" s="5">
        <f t="shared" si="0"/>
        <v>0.25</v>
      </c>
    </row>
    <row r="6" spans="1:9" x14ac:dyDescent="0.25">
      <c r="A6" s="10">
        <v>43332</v>
      </c>
      <c r="B6" s="5" t="s">
        <v>26</v>
      </c>
      <c r="C6" s="5">
        <v>0.25</v>
      </c>
      <c r="D6" s="5">
        <f t="shared" si="0"/>
        <v>3.125E-2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43362</v>
      </c>
      <c r="B8" s="5" t="s">
        <v>26</v>
      </c>
      <c r="C8" s="5">
        <v>0.5</v>
      </c>
      <c r="D8" s="5">
        <f t="shared" si="0"/>
        <v>6.25E-2</v>
      </c>
    </row>
    <row r="9" spans="1:9" x14ac:dyDescent="0.25">
      <c r="A9" s="10">
        <v>43374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43390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43513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43516</v>
      </c>
      <c r="B12" s="5" t="s">
        <v>26</v>
      </c>
      <c r="C12" s="5">
        <v>0.25</v>
      </c>
      <c r="D12" s="5">
        <f t="shared" si="0"/>
        <v>3.125E-2</v>
      </c>
    </row>
    <row r="13" spans="1:9" x14ac:dyDescent="0.25">
      <c r="A13" s="10">
        <v>43564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43566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43570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43572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/>
      <c r="D17" s="5">
        <f t="shared" si="0"/>
        <v>0</v>
      </c>
    </row>
    <row r="18" spans="1:4" x14ac:dyDescent="0.25"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0" sqref="A20:XFD20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64</v>
      </c>
      <c r="D4" s="5">
        <f t="shared" ref="D4:D67" si="0">C4/8</f>
        <v>8</v>
      </c>
    </row>
    <row r="5" spans="1:9" x14ac:dyDescent="0.25">
      <c r="A5" s="10">
        <v>43332</v>
      </c>
      <c r="B5" s="5" t="s">
        <v>79</v>
      </c>
      <c r="C5" s="5">
        <v>-15.2</v>
      </c>
      <c r="D5" s="5">
        <v>0</v>
      </c>
    </row>
    <row r="6" spans="1:9" x14ac:dyDescent="0.25">
      <c r="A6" s="10">
        <v>43362</v>
      </c>
      <c r="B6" s="5" t="s">
        <v>26</v>
      </c>
      <c r="C6" s="5">
        <v>0.5</v>
      </c>
      <c r="D6" s="5">
        <f t="shared" si="0"/>
        <v>6.25E-2</v>
      </c>
    </row>
    <row r="7" spans="1:9" x14ac:dyDescent="0.25">
      <c r="A7" s="10">
        <v>43488</v>
      </c>
      <c r="B7" s="5" t="s">
        <v>80</v>
      </c>
      <c r="C7" s="5">
        <v>0.25</v>
      </c>
      <c r="D7" s="5">
        <f t="shared" si="0"/>
        <v>3.125E-2</v>
      </c>
    </row>
    <row r="8" spans="1:9" x14ac:dyDescent="0.25">
      <c r="A8" s="10">
        <v>43513</v>
      </c>
      <c r="B8" s="5" t="s">
        <v>26</v>
      </c>
      <c r="C8" s="5">
        <v>0.25</v>
      </c>
      <c r="D8" s="5">
        <f t="shared" si="0"/>
        <v>3.125E-2</v>
      </c>
    </row>
    <row r="9" spans="1:9" x14ac:dyDescent="0.25">
      <c r="A9" s="10">
        <v>43516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43520</v>
      </c>
      <c r="B10" s="5" t="s">
        <v>88</v>
      </c>
      <c r="C10" s="5">
        <v>0.25</v>
      </c>
      <c r="D10" s="5">
        <f t="shared" si="0"/>
        <v>3.125E-2</v>
      </c>
    </row>
    <row r="11" spans="1:9" x14ac:dyDescent="0.25">
      <c r="A11" s="10">
        <v>43523</v>
      </c>
      <c r="B11" s="5" t="s">
        <v>88</v>
      </c>
      <c r="C11" s="5">
        <v>0.25</v>
      </c>
      <c r="D11" s="5">
        <f t="shared" si="0"/>
        <v>3.125E-2</v>
      </c>
    </row>
    <row r="12" spans="1:9" x14ac:dyDescent="0.25">
      <c r="A12" s="10">
        <v>43536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43549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43550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43551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43558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43564</v>
      </c>
      <c r="B17" s="5" t="s">
        <v>26</v>
      </c>
      <c r="C17" s="5">
        <v>0.5</v>
      </c>
      <c r="D17" s="5">
        <f t="shared" si="0"/>
        <v>6.25E-2</v>
      </c>
    </row>
    <row r="18" spans="1:4" x14ac:dyDescent="0.25">
      <c r="A18" s="10">
        <v>43566</v>
      </c>
      <c r="B18" s="5" t="s">
        <v>26</v>
      </c>
      <c r="C18" s="5">
        <v>0.5</v>
      </c>
      <c r="D18" s="5">
        <f t="shared" si="0"/>
        <v>6.25E-2</v>
      </c>
    </row>
    <row r="19" spans="1:4" x14ac:dyDescent="0.25">
      <c r="A19" s="10">
        <v>43570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43572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5" sqref="A25:XFD25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60</v>
      </c>
      <c r="D4" s="5">
        <f t="shared" ref="D4:D67" si="0">C4/8</f>
        <v>7.5</v>
      </c>
    </row>
    <row r="5" spans="1:9" x14ac:dyDescent="0.25">
      <c r="A5" s="10">
        <v>43306</v>
      </c>
      <c r="B5" s="5" t="s">
        <v>58</v>
      </c>
      <c r="C5" s="5">
        <v>-20</v>
      </c>
      <c r="D5" s="5">
        <f t="shared" si="0"/>
        <v>-2.5</v>
      </c>
      <c r="I5" s="5" t="s">
        <v>60</v>
      </c>
    </row>
    <row r="6" spans="1:9" x14ac:dyDescent="0.25">
      <c r="A6" s="10">
        <v>43308</v>
      </c>
      <c r="B6" s="5" t="s">
        <v>58</v>
      </c>
      <c r="C6" s="5">
        <v>40</v>
      </c>
      <c r="D6" s="5">
        <f t="shared" si="0"/>
        <v>5</v>
      </c>
      <c r="I6" s="5" t="s">
        <v>61</v>
      </c>
    </row>
    <row r="7" spans="1:9" x14ac:dyDescent="0.25">
      <c r="A7" s="10">
        <v>43320</v>
      </c>
      <c r="B7" s="5" t="s">
        <v>58</v>
      </c>
      <c r="C7" s="5">
        <v>40</v>
      </c>
      <c r="D7" s="5">
        <f t="shared" si="0"/>
        <v>5</v>
      </c>
    </row>
    <row r="8" spans="1:9" x14ac:dyDescent="0.25">
      <c r="A8" s="10">
        <v>43326</v>
      </c>
      <c r="B8" s="5" t="s">
        <v>58</v>
      </c>
      <c r="C8" s="5">
        <v>2</v>
      </c>
      <c r="D8" s="5">
        <f t="shared" si="0"/>
        <v>0.25</v>
      </c>
    </row>
    <row r="9" spans="1:9" x14ac:dyDescent="0.25">
      <c r="A9" s="10">
        <v>43332</v>
      </c>
      <c r="B9" s="5" t="s">
        <v>79</v>
      </c>
      <c r="C9" s="5">
        <v>-15.2</v>
      </c>
      <c r="D9" s="5">
        <f t="shared" si="0"/>
        <v>-1.9</v>
      </c>
    </row>
    <row r="10" spans="1:9" x14ac:dyDescent="0.25">
      <c r="A10" s="10">
        <v>43333</v>
      </c>
      <c r="B10" s="5" t="s">
        <v>58</v>
      </c>
      <c r="C10" s="5">
        <v>0.25</v>
      </c>
      <c r="D10" s="5">
        <f t="shared" si="0"/>
        <v>3.125E-2</v>
      </c>
    </row>
    <row r="11" spans="1:9" x14ac:dyDescent="0.25">
      <c r="A11" s="10">
        <v>43363</v>
      </c>
      <c r="B11" s="5" t="s">
        <v>26</v>
      </c>
      <c r="C11" s="5">
        <v>3</v>
      </c>
      <c r="D11" s="5">
        <f t="shared" si="0"/>
        <v>0.375</v>
      </c>
    </row>
    <row r="12" spans="1:9" x14ac:dyDescent="0.25">
      <c r="A12" s="10">
        <v>43375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43392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43418</v>
      </c>
      <c r="B14" s="5" t="s">
        <v>80</v>
      </c>
      <c r="C14" s="5">
        <v>0.5</v>
      </c>
      <c r="D14" s="5">
        <f t="shared" si="0"/>
        <v>6.25E-2</v>
      </c>
    </row>
    <row r="15" spans="1:9" x14ac:dyDescent="0.25">
      <c r="A15" s="10">
        <v>43475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43495</v>
      </c>
      <c r="B16" s="5" t="s">
        <v>80</v>
      </c>
      <c r="C16" s="5">
        <v>0.25</v>
      </c>
      <c r="D16" s="5">
        <f t="shared" si="0"/>
        <v>3.125E-2</v>
      </c>
    </row>
    <row r="17" spans="1:4" x14ac:dyDescent="0.25">
      <c r="A17" s="10">
        <v>43513</v>
      </c>
      <c r="B17" s="5" t="s">
        <v>26</v>
      </c>
      <c r="C17" s="5">
        <v>0.25</v>
      </c>
      <c r="D17" s="5">
        <f t="shared" si="0"/>
        <v>3.125E-2</v>
      </c>
    </row>
    <row r="18" spans="1:4" x14ac:dyDescent="0.25">
      <c r="A18" s="10">
        <v>43520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43536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43549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43550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43564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43566</v>
      </c>
      <c r="B23" s="5" t="s">
        <v>26</v>
      </c>
      <c r="C23" s="5">
        <v>0.25</v>
      </c>
      <c r="D23" s="5">
        <f t="shared" si="0"/>
        <v>3.125E-2</v>
      </c>
    </row>
    <row r="24" spans="1:4" x14ac:dyDescent="0.25">
      <c r="A24" s="10">
        <v>43570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A25" s="10">
        <v>43572</v>
      </c>
      <c r="B25" s="5" t="s">
        <v>88</v>
      </c>
      <c r="C25" s="5">
        <v>0.25</v>
      </c>
      <c r="D25" s="5">
        <f t="shared" si="0"/>
        <v>3.125E-2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14" sqref="A14:XFD1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80</v>
      </c>
      <c r="D4" s="5">
        <f t="shared" ref="D4:D67" si="0">C4/8</f>
        <v>10</v>
      </c>
    </row>
    <row r="5" spans="1:9" x14ac:dyDescent="0.25">
      <c r="A5" s="10">
        <v>43308</v>
      </c>
      <c r="B5" s="5" t="s">
        <v>58</v>
      </c>
      <c r="C5" s="5">
        <v>16</v>
      </c>
      <c r="D5" s="5">
        <f t="shared" si="0"/>
        <v>2</v>
      </c>
      <c r="I5" s="5" t="s">
        <v>61</v>
      </c>
    </row>
    <row r="6" spans="1:9" x14ac:dyDescent="0.25">
      <c r="A6" s="10">
        <v>43319</v>
      </c>
      <c r="B6" s="5" t="s">
        <v>58</v>
      </c>
      <c r="C6" s="5">
        <v>4</v>
      </c>
      <c r="D6" s="5">
        <f t="shared" si="0"/>
        <v>0.5</v>
      </c>
    </row>
    <row r="7" spans="1:9" x14ac:dyDescent="0.25">
      <c r="A7" s="10">
        <v>43325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43513</v>
      </c>
      <c r="B10" s="5" t="s">
        <v>26</v>
      </c>
      <c r="C10" s="5">
        <v>0.25</v>
      </c>
      <c r="D10" s="5">
        <f t="shared" si="0"/>
        <v>3.125E-2</v>
      </c>
    </row>
    <row r="11" spans="1:9" x14ac:dyDescent="0.25">
      <c r="A11" s="10">
        <v>43516</v>
      </c>
      <c r="B11" s="5" t="s">
        <v>26</v>
      </c>
      <c r="C11" s="5">
        <v>0.25</v>
      </c>
      <c r="D11" s="5">
        <f t="shared" si="0"/>
        <v>3.125E-2</v>
      </c>
    </row>
    <row r="12" spans="1:9" x14ac:dyDescent="0.25">
      <c r="A12" s="10">
        <v>43549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43564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43566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/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6" sqref="A26:XFD26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76</v>
      </c>
      <c r="D4" s="5">
        <f t="shared" ref="D4:D67" si="0">C4/8</f>
        <v>9.5</v>
      </c>
    </row>
    <row r="5" spans="1:9" x14ac:dyDescent="0.25">
      <c r="A5" s="10">
        <v>43318</v>
      </c>
      <c r="B5" s="5" t="s">
        <v>26</v>
      </c>
      <c r="C5" s="5">
        <v>1</v>
      </c>
      <c r="D5" s="5">
        <f t="shared" si="0"/>
        <v>0.125</v>
      </c>
    </row>
    <row r="6" spans="1:9" x14ac:dyDescent="0.25">
      <c r="A6" s="10">
        <v>43325</v>
      </c>
      <c r="B6" s="5" t="s">
        <v>26</v>
      </c>
      <c r="C6" s="5">
        <v>1</v>
      </c>
      <c r="D6" s="5">
        <f t="shared" si="0"/>
        <v>0.125</v>
      </c>
    </row>
    <row r="7" spans="1:9" x14ac:dyDescent="0.25">
      <c r="A7" s="10">
        <v>43332</v>
      </c>
      <c r="B7" s="5" t="s">
        <v>26</v>
      </c>
      <c r="C7" s="5">
        <v>1</v>
      </c>
      <c r="D7" s="5">
        <f t="shared" si="0"/>
        <v>0.125</v>
      </c>
    </row>
    <row r="8" spans="1:9" x14ac:dyDescent="0.25">
      <c r="A8" s="10">
        <v>43332</v>
      </c>
      <c r="B8" s="5" t="s">
        <v>79</v>
      </c>
      <c r="C8" s="5">
        <v>1.9</v>
      </c>
      <c r="D8" s="5">
        <f t="shared" si="0"/>
        <v>0.23749999999999999</v>
      </c>
    </row>
    <row r="9" spans="1:9" x14ac:dyDescent="0.25">
      <c r="A9" s="10">
        <v>43362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43389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43418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43476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43489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43493</v>
      </c>
      <c r="B14" s="5" t="s">
        <v>80</v>
      </c>
      <c r="C14" s="5">
        <v>0.5</v>
      </c>
      <c r="D14" s="5">
        <f t="shared" si="0"/>
        <v>6.25E-2</v>
      </c>
    </row>
    <row r="15" spans="1:9" x14ac:dyDescent="0.25">
      <c r="A15" s="10">
        <v>43513</v>
      </c>
      <c r="B15" s="5" t="s">
        <v>26</v>
      </c>
      <c r="C15" s="5">
        <v>0.5</v>
      </c>
      <c r="D15" s="5">
        <f t="shared" si="0"/>
        <v>6.25E-2</v>
      </c>
    </row>
    <row r="16" spans="1:9" x14ac:dyDescent="0.25">
      <c r="A16" s="10">
        <v>43516</v>
      </c>
      <c r="B16" s="5" t="s">
        <v>26</v>
      </c>
      <c r="C16" s="5">
        <v>0.25</v>
      </c>
      <c r="D16" s="5">
        <f t="shared" si="0"/>
        <v>3.125E-2</v>
      </c>
    </row>
    <row r="17" spans="1:4" x14ac:dyDescent="0.25">
      <c r="A17" s="10">
        <v>43520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43536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43549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43550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43551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A22" s="10">
        <v>43558</v>
      </c>
      <c r="B22" s="5" t="s">
        <v>88</v>
      </c>
      <c r="C22" s="5">
        <v>0.5</v>
      </c>
      <c r="D22" s="5">
        <f t="shared" si="0"/>
        <v>6.25E-2</v>
      </c>
    </row>
    <row r="23" spans="1:4" x14ac:dyDescent="0.25">
      <c r="A23" s="10">
        <v>43564</v>
      </c>
      <c r="B23" s="5" t="s">
        <v>26</v>
      </c>
      <c r="C23" s="5">
        <v>0.5</v>
      </c>
      <c r="D23" s="5">
        <f t="shared" si="0"/>
        <v>6.25E-2</v>
      </c>
    </row>
    <row r="24" spans="1:4" x14ac:dyDescent="0.25">
      <c r="A24" s="10">
        <v>43566</v>
      </c>
      <c r="B24" s="5" t="s">
        <v>26</v>
      </c>
      <c r="C24" s="5">
        <v>0.5</v>
      </c>
      <c r="D24" s="5">
        <f t="shared" si="0"/>
        <v>6.25E-2</v>
      </c>
    </row>
    <row r="25" spans="1:4" x14ac:dyDescent="0.25">
      <c r="A25" s="10">
        <v>43570</v>
      </c>
      <c r="B25" s="5" t="s">
        <v>88</v>
      </c>
      <c r="C25" s="5">
        <v>0.5</v>
      </c>
      <c r="D25" s="5">
        <f t="shared" si="0"/>
        <v>6.25E-2</v>
      </c>
    </row>
    <row r="26" spans="1:4" x14ac:dyDescent="0.25">
      <c r="A26" s="10">
        <v>43572</v>
      </c>
      <c r="B26" s="5" t="s">
        <v>88</v>
      </c>
      <c r="C26" s="5">
        <v>0.5</v>
      </c>
      <c r="D26" s="5">
        <f t="shared" si="0"/>
        <v>6.25E-2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2" sqref="A22:XFD2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64</v>
      </c>
      <c r="D4" s="5">
        <f t="shared" ref="D4:D67" si="0">C4/8</f>
        <v>8</v>
      </c>
    </row>
    <row r="5" spans="1:9" x14ac:dyDescent="0.25">
      <c r="A5" s="10">
        <v>43318</v>
      </c>
      <c r="B5" s="5" t="s">
        <v>26</v>
      </c>
      <c r="C5" s="5">
        <v>8</v>
      </c>
      <c r="D5" s="5">
        <v>1</v>
      </c>
    </row>
    <row r="6" spans="1:9" x14ac:dyDescent="0.25">
      <c r="A6" s="10">
        <v>43325</v>
      </c>
      <c r="B6" s="5" t="s">
        <v>26</v>
      </c>
      <c r="C6" s="5">
        <v>2</v>
      </c>
      <c r="D6" s="5">
        <f t="shared" si="0"/>
        <v>0.25</v>
      </c>
    </row>
    <row r="7" spans="1:9" x14ac:dyDescent="0.25">
      <c r="A7" s="10">
        <v>43332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43389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43488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0.5</v>
      </c>
      <c r="D13" s="5">
        <f t="shared" si="0"/>
        <v>6.25E-2</v>
      </c>
    </row>
    <row r="14" spans="1:9" x14ac:dyDescent="0.25">
      <c r="A14" s="10">
        <v>43516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43550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43551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43558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0.5</v>
      </c>
      <c r="D21" s="5">
        <f t="shared" ref="D21" si="1">C21/8</f>
        <v>6.25E-2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ref="D22" si="2">C22/8</f>
        <v>6.25E-2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3">C68/8</f>
        <v>0</v>
      </c>
    </row>
    <row r="69" spans="4:4" x14ac:dyDescent="0.25">
      <c r="D69" s="5">
        <f t="shared" si="3"/>
        <v>0</v>
      </c>
    </row>
    <row r="70" spans="4:4" x14ac:dyDescent="0.25">
      <c r="D70" s="5">
        <f t="shared" si="3"/>
        <v>0</v>
      </c>
    </row>
    <row r="71" spans="4:4" x14ac:dyDescent="0.25">
      <c r="D71" s="5">
        <f t="shared" si="3"/>
        <v>0</v>
      </c>
    </row>
    <row r="72" spans="4:4" x14ac:dyDescent="0.25">
      <c r="D72" s="5">
        <f t="shared" si="3"/>
        <v>0</v>
      </c>
    </row>
    <row r="73" spans="4:4" x14ac:dyDescent="0.25">
      <c r="D73" s="5">
        <f t="shared" si="3"/>
        <v>0</v>
      </c>
    </row>
    <row r="74" spans="4:4" x14ac:dyDescent="0.25">
      <c r="D74" s="5">
        <f t="shared" si="3"/>
        <v>0</v>
      </c>
    </row>
    <row r="75" spans="4:4" x14ac:dyDescent="0.25">
      <c r="D75" s="5">
        <f t="shared" si="3"/>
        <v>0</v>
      </c>
    </row>
    <row r="76" spans="4:4" x14ac:dyDescent="0.25">
      <c r="D76" s="5">
        <f t="shared" si="3"/>
        <v>0</v>
      </c>
    </row>
    <row r="77" spans="4:4" x14ac:dyDescent="0.25">
      <c r="D77" s="5">
        <f t="shared" si="3"/>
        <v>0</v>
      </c>
    </row>
    <row r="78" spans="4:4" x14ac:dyDescent="0.25">
      <c r="D78" s="5">
        <f t="shared" si="3"/>
        <v>0</v>
      </c>
    </row>
    <row r="79" spans="4:4" x14ac:dyDescent="0.25">
      <c r="D79" s="5">
        <f t="shared" si="3"/>
        <v>0</v>
      </c>
    </row>
  </sheetData>
  <mergeCells count="1">
    <mergeCell ref="A1:B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86</v>
      </c>
      <c r="D4" s="5">
        <f t="shared" ref="D4:D19" si="0">C4/8</f>
        <v>10.75</v>
      </c>
    </row>
    <row r="5" spans="1:9" x14ac:dyDescent="0.25">
      <c r="A5" s="10">
        <v>43311</v>
      </c>
      <c r="B5" s="5" t="s">
        <v>26</v>
      </c>
      <c r="C5" s="5">
        <v>32</v>
      </c>
      <c r="D5" s="5">
        <f t="shared" si="0"/>
        <v>4</v>
      </c>
      <c r="I5" s="5" t="s">
        <v>63</v>
      </c>
    </row>
    <row r="6" spans="1:9" x14ac:dyDescent="0.25">
      <c r="A6" s="10">
        <v>43319</v>
      </c>
      <c r="B6" s="5" t="s">
        <v>58</v>
      </c>
      <c r="C6" s="5">
        <v>4</v>
      </c>
      <c r="D6" s="5">
        <f t="shared" si="0"/>
        <v>0.5</v>
      </c>
    </row>
    <row r="7" spans="1:9" x14ac:dyDescent="0.25">
      <c r="A7" s="10">
        <v>43326</v>
      </c>
      <c r="B7" s="5" t="s">
        <v>58</v>
      </c>
      <c r="C7" s="5">
        <v>6</v>
      </c>
      <c r="D7" s="5">
        <f t="shared" si="0"/>
        <v>0.75</v>
      </c>
      <c r="I7" s="5" t="s">
        <v>77</v>
      </c>
    </row>
    <row r="8" spans="1:9" x14ac:dyDescent="0.25">
      <c r="A8" s="10">
        <v>43332</v>
      </c>
      <c r="B8" s="5" t="s">
        <v>26</v>
      </c>
      <c r="C8" s="5">
        <v>0.25</v>
      </c>
      <c r="D8" s="5">
        <f t="shared" si="0"/>
        <v>3.125E-2</v>
      </c>
    </row>
    <row r="9" spans="1:9" x14ac:dyDescent="0.25">
      <c r="A9" s="10">
        <v>43332</v>
      </c>
      <c r="B9" s="5" t="s">
        <v>79</v>
      </c>
      <c r="C9" s="5">
        <v>-15.2</v>
      </c>
      <c r="D9" s="5">
        <f t="shared" si="0"/>
        <v>-1.9</v>
      </c>
    </row>
    <row r="10" spans="1:9" x14ac:dyDescent="0.25">
      <c r="A10" s="10">
        <v>43363</v>
      </c>
      <c r="B10" s="5" t="s">
        <v>26</v>
      </c>
      <c r="C10" s="5">
        <v>4</v>
      </c>
      <c r="D10" s="5">
        <f t="shared" si="0"/>
        <v>0.5</v>
      </c>
    </row>
    <row r="11" spans="1:9" x14ac:dyDescent="0.25">
      <c r="A11" s="10">
        <v>43375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43391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43418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43523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43558</v>
      </c>
      <c r="B20" s="5" t="s">
        <v>88</v>
      </c>
      <c r="C20" s="5">
        <v>0.25</v>
      </c>
      <c r="D20" s="5">
        <f>'Trode (4)'!C20/8</f>
        <v>3.125E-2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ref="D21:D24" si="1">C21/8</f>
        <v>3.125E-2</v>
      </c>
    </row>
    <row r="22" spans="1:4" x14ac:dyDescent="0.25">
      <c r="A22" s="10">
        <v>43566</v>
      </c>
      <c r="B22" s="5" t="s">
        <v>26</v>
      </c>
      <c r="C22" s="5">
        <v>0.25</v>
      </c>
      <c r="D22" s="5">
        <f t="shared" si="1"/>
        <v>3.125E-2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1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1"/>
        <v>3.125E-2</v>
      </c>
    </row>
    <row r="25" spans="1:4" x14ac:dyDescent="0.25">
      <c r="D25" s="5">
        <f t="shared" ref="D25:D67" si="2">C25/8</f>
        <v>0</v>
      </c>
    </row>
    <row r="26" spans="1:4" x14ac:dyDescent="0.25">
      <c r="D26" s="5">
        <f t="shared" si="2"/>
        <v>0</v>
      </c>
    </row>
    <row r="27" spans="1:4" x14ac:dyDescent="0.25">
      <c r="D27" s="5">
        <f t="shared" si="2"/>
        <v>0</v>
      </c>
    </row>
    <row r="28" spans="1:4" x14ac:dyDescent="0.25">
      <c r="D28" s="5">
        <f t="shared" si="2"/>
        <v>0</v>
      </c>
    </row>
    <row r="29" spans="1:4" x14ac:dyDescent="0.25">
      <c r="D29" s="5">
        <f t="shared" si="2"/>
        <v>0</v>
      </c>
    </row>
    <row r="30" spans="1:4" x14ac:dyDescent="0.25">
      <c r="D30" s="5">
        <f t="shared" si="2"/>
        <v>0</v>
      </c>
    </row>
    <row r="31" spans="1:4" x14ac:dyDescent="0.25">
      <c r="D31" s="5">
        <f t="shared" si="2"/>
        <v>0</v>
      </c>
    </row>
    <row r="32" spans="1:4" x14ac:dyDescent="0.25">
      <c r="D32" s="5">
        <f t="shared" si="2"/>
        <v>0</v>
      </c>
    </row>
    <row r="33" spans="4:4" x14ac:dyDescent="0.25">
      <c r="D33" s="5">
        <f t="shared" si="2"/>
        <v>0</v>
      </c>
    </row>
    <row r="34" spans="4:4" x14ac:dyDescent="0.25">
      <c r="D34" s="5">
        <f t="shared" si="2"/>
        <v>0</v>
      </c>
    </row>
    <row r="35" spans="4:4" x14ac:dyDescent="0.25">
      <c r="D35" s="5">
        <f t="shared" si="2"/>
        <v>0</v>
      </c>
    </row>
    <row r="36" spans="4:4" x14ac:dyDescent="0.25">
      <c r="D36" s="5">
        <f t="shared" si="2"/>
        <v>0</v>
      </c>
    </row>
    <row r="37" spans="4:4" x14ac:dyDescent="0.25">
      <c r="D37" s="5">
        <f t="shared" si="2"/>
        <v>0</v>
      </c>
    </row>
    <row r="38" spans="4:4" x14ac:dyDescent="0.25">
      <c r="D38" s="5">
        <f t="shared" si="2"/>
        <v>0</v>
      </c>
    </row>
    <row r="39" spans="4:4" x14ac:dyDescent="0.25">
      <c r="D39" s="5">
        <f t="shared" si="2"/>
        <v>0</v>
      </c>
    </row>
    <row r="40" spans="4:4" x14ac:dyDescent="0.25">
      <c r="D40" s="5">
        <f t="shared" si="2"/>
        <v>0</v>
      </c>
    </row>
    <row r="41" spans="4:4" x14ac:dyDescent="0.25">
      <c r="D41" s="5">
        <f t="shared" si="2"/>
        <v>0</v>
      </c>
    </row>
    <row r="42" spans="4:4" x14ac:dyDescent="0.25">
      <c r="D42" s="5">
        <f t="shared" si="2"/>
        <v>0</v>
      </c>
    </row>
    <row r="43" spans="4:4" x14ac:dyDescent="0.25">
      <c r="D43" s="5">
        <f t="shared" si="2"/>
        <v>0</v>
      </c>
    </row>
    <row r="44" spans="4:4" x14ac:dyDescent="0.25">
      <c r="D44" s="5">
        <f t="shared" si="2"/>
        <v>0</v>
      </c>
    </row>
    <row r="45" spans="4:4" x14ac:dyDescent="0.25">
      <c r="D45" s="5">
        <f t="shared" si="2"/>
        <v>0</v>
      </c>
    </row>
    <row r="46" spans="4:4" x14ac:dyDescent="0.25">
      <c r="D46" s="5">
        <f t="shared" si="2"/>
        <v>0</v>
      </c>
    </row>
    <row r="47" spans="4:4" x14ac:dyDescent="0.25">
      <c r="D47" s="5">
        <f t="shared" si="2"/>
        <v>0</v>
      </c>
    </row>
    <row r="48" spans="4:4" x14ac:dyDescent="0.25">
      <c r="D48" s="5">
        <f t="shared" si="2"/>
        <v>0</v>
      </c>
    </row>
    <row r="49" spans="4:4" x14ac:dyDescent="0.25">
      <c r="D49" s="5">
        <f t="shared" si="2"/>
        <v>0</v>
      </c>
    </row>
    <row r="50" spans="4:4" x14ac:dyDescent="0.25">
      <c r="D50" s="5">
        <f t="shared" si="2"/>
        <v>0</v>
      </c>
    </row>
    <row r="51" spans="4:4" x14ac:dyDescent="0.25">
      <c r="D51" s="5">
        <f t="shared" si="2"/>
        <v>0</v>
      </c>
    </row>
    <row r="52" spans="4:4" x14ac:dyDescent="0.25">
      <c r="D52" s="5">
        <f t="shared" si="2"/>
        <v>0</v>
      </c>
    </row>
    <row r="53" spans="4:4" x14ac:dyDescent="0.25">
      <c r="D53" s="5">
        <f t="shared" si="2"/>
        <v>0</v>
      </c>
    </row>
    <row r="54" spans="4:4" x14ac:dyDescent="0.25">
      <c r="D54" s="5">
        <f t="shared" si="2"/>
        <v>0</v>
      </c>
    </row>
    <row r="55" spans="4:4" x14ac:dyDescent="0.25">
      <c r="D55" s="5">
        <f t="shared" si="2"/>
        <v>0</v>
      </c>
    </row>
    <row r="56" spans="4:4" x14ac:dyDescent="0.25">
      <c r="D56" s="5">
        <f t="shared" si="2"/>
        <v>0</v>
      </c>
    </row>
    <row r="57" spans="4:4" x14ac:dyDescent="0.25">
      <c r="D57" s="5">
        <f t="shared" si="2"/>
        <v>0</v>
      </c>
    </row>
    <row r="58" spans="4:4" x14ac:dyDescent="0.25">
      <c r="D58" s="5">
        <f t="shared" si="2"/>
        <v>0</v>
      </c>
    </row>
    <row r="59" spans="4:4" x14ac:dyDescent="0.25">
      <c r="D59" s="5">
        <f t="shared" si="2"/>
        <v>0</v>
      </c>
    </row>
    <row r="60" spans="4:4" x14ac:dyDescent="0.25">
      <c r="D60" s="5">
        <f t="shared" si="2"/>
        <v>0</v>
      </c>
    </row>
    <row r="61" spans="4:4" x14ac:dyDescent="0.25">
      <c r="D61" s="5">
        <f t="shared" si="2"/>
        <v>0</v>
      </c>
    </row>
    <row r="62" spans="4:4" x14ac:dyDescent="0.25">
      <c r="D62" s="5">
        <f t="shared" si="2"/>
        <v>0</v>
      </c>
    </row>
    <row r="63" spans="4:4" x14ac:dyDescent="0.25">
      <c r="D63" s="5">
        <f t="shared" si="2"/>
        <v>0</v>
      </c>
    </row>
    <row r="64" spans="4:4" x14ac:dyDescent="0.25">
      <c r="D64" s="5">
        <f t="shared" si="2"/>
        <v>0</v>
      </c>
    </row>
    <row r="65" spans="4:4" x14ac:dyDescent="0.25">
      <c r="D65" s="5">
        <f t="shared" si="2"/>
        <v>0</v>
      </c>
    </row>
    <row r="66" spans="4:4" x14ac:dyDescent="0.25">
      <c r="D66" s="5">
        <f t="shared" si="2"/>
        <v>0</v>
      </c>
    </row>
    <row r="67" spans="4:4" x14ac:dyDescent="0.25">
      <c r="D67" s="5">
        <f t="shared" si="2"/>
        <v>0</v>
      </c>
    </row>
    <row r="68" spans="4:4" x14ac:dyDescent="0.25">
      <c r="D68" s="5">
        <f t="shared" ref="D68:D79" si="3">C68/8</f>
        <v>0</v>
      </c>
    </row>
    <row r="69" spans="4:4" x14ac:dyDescent="0.25">
      <c r="D69" s="5">
        <f t="shared" si="3"/>
        <v>0</v>
      </c>
    </row>
    <row r="70" spans="4:4" x14ac:dyDescent="0.25">
      <c r="D70" s="5">
        <f t="shared" si="3"/>
        <v>0</v>
      </c>
    </row>
    <row r="71" spans="4:4" x14ac:dyDescent="0.25">
      <c r="D71" s="5">
        <f t="shared" si="3"/>
        <v>0</v>
      </c>
    </row>
    <row r="72" spans="4:4" x14ac:dyDescent="0.25">
      <c r="D72" s="5">
        <f t="shared" si="3"/>
        <v>0</v>
      </c>
    </row>
    <row r="73" spans="4:4" x14ac:dyDescent="0.25">
      <c r="D73" s="5">
        <f t="shared" si="3"/>
        <v>0</v>
      </c>
    </row>
    <row r="74" spans="4:4" x14ac:dyDescent="0.25">
      <c r="D74" s="5">
        <f t="shared" si="3"/>
        <v>0</v>
      </c>
    </row>
    <row r="75" spans="4:4" x14ac:dyDescent="0.25">
      <c r="D75" s="5">
        <f t="shared" si="3"/>
        <v>0</v>
      </c>
    </row>
    <row r="76" spans="4:4" x14ac:dyDescent="0.25">
      <c r="D76" s="5">
        <f t="shared" si="3"/>
        <v>0</v>
      </c>
    </row>
    <row r="77" spans="4:4" x14ac:dyDescent="0.25">
      <c r="D77" s="5">
        <f t="shared" si="3"/>
        <v>0</v>
      </c>
    </row>
    <row r="78" spans="4:4" x14ac:dyDescent="0.25">
      <c r="D78" s="5">
        <f t="shared" si="3"/>
        <v>0</v>
      </c>
    </row>
    <row r="79" spans="4:4" x14ac:dyDescent="0.25">
      <c r="D79" s="5">
        <f t="shared" si="3"/>
        <v>0</v>
      </c>
    </row>
  </sheetData>
  <mergeCells count="1">
    <mergeCell ref="A1:B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D11" sqref="D1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17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80</v>
      </c>
      <c r="D4" s="5">
        <f t="shared" ref="D4:D67" si="0">C4/8</f>
        <v>10</v>
      </c>
    </row>
    <row r="5" spans="1:9" x14ac:dyDescent="0.25">
      <c r="A5" s="10">
        <v>43319</v>
      </c>
      <c r="B5" s="5" t="s">
        <v>58</v>
      </c>
      <c r="C5" s="5">
        <v>16</v>
      </c>
      <c r="D5" s="5">
        <f t="shared" si="0"/>
        <v>2</v>
      </c>
    </row>
    <row r="6" spans="1:9" x14ac:dyDescent="0.25">
      <c r="A6" s="10">
        <v>43325</v>
      </c>
      <c r="B6" s="5" t="s">
        <v>26</v>
      </c>
      <c r="C6" s="5">
        <v>1</v>
      </c>
      <c r="D6" s="5">
        <f t="shared" si="0"/>
        <v>0.125</v>
      </c>
    </row>
    <row r="7" spans="1:9" x14ac:dyDescent="0.25">
      <c r="A7" s="10">
        <v>43332</v>
      </c>
      <c r="B7" s="5" t="s">
        <v>26</v>
      </c>
      <c r="C7" s="5">
        <v>4</v>
      </c>
      <c r="D7" s="5">
        <f t="shared" si="0"/>
        <v>0.5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4</v>
      </c>
      <c r="D9" s="5">
        <f t="shared" si="0"/>
        <v>0.5</v>
      </c>
    </row>
    <row r="10" spans="1:9" x14ac:dyDescent="0.25">
      <c r="A10" s="10">
        <v>43374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43390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A15" s="10"/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18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64</v>
      </c>
      <c r="D4" s="5">
        <f t="shared" ref="D4:D67" si="0">C4/8</f>
        <v>8</v>
      </c>
    </row>
    <row r="5" spans="1:9" x14ac:dyDescent="0.25">
      <c r="A5" s="10">
        <v>43318</v>
      </c>
      <c r="B5" s="5" t="s">
        <v>26</v>
      </c>
      <c r="C5" s="5">
        <v>48</v>
      </c>
      <c r="D5" s="5">
        <f t="shared" si="0"/>
        <v>6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43362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43389</v>
      </c>
      <c r="B8" s="5" t="s">
        <v>80</v>
      </c>
      <c r="C8" s="5">
        <v>0.5</v>
      </c>
      <c r="D8" s="5">
        <f t="shared" si="0"/>
        <v>6.25E-2</v>
      </c>
    </row>
    <row r="9" spans="1:9" x14ac:dyDescent="0.25">
      <c r="A9" s="10">
        <v>43418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43476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43488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43513</v>
      </c>
      <c r="B12" s="5" t="s">
        <v>26</v>
      </c>
      <c r="C12" s="5">
        <v>0.25</v>
      </c>
      <c r="D12" s="5">
        <f t="shared" si="0"/>
        <v>3.125E-2</v>
      </c>
    </row>
    <row r="13" spans="1:9" x14ac:dyDescent="0.25">
      <c r="A13" s="10">
        <v>43516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43523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43550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43551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43558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0.5</v>
      </c>
      <c r="D21" s="5">
        <f t="shared" si="0"/>
        <v>6.25E-2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19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84</v>
      </c>
      <c r="D4" s="5">
        <f t="shared" ref="D4:D67" si="0">C4/8</f>
        <v>10.5</v>
      </c>
    </row>
    <row r="5" spans="1:9" x14ac:dyDescent="0.25">
      <c r="A5" s="10">
        <v>43308</v>
      </c>
      <c r="B5" s="5" t="s">
        <v>58</v>
      </c>
      <c r="C5" s="5">
        <v>36</v>
      </c>
      <c r="D5" s="5">
        <f t="shared" si="0"/>
        <v>4.5</v>
      </c>
      <c r="I5" s="5" t="s">
        <v>61</v>
      </c>
    </row>
    <row r="6" spans="1:9" x14ac:dyDescent="0.25">
      <c r="A6" s="10">
        <v>43320</v>
      </c>
      <c r="B6" s="5" t="s">
        <v>58</v>
      </c>
      <c r="C6" s="5">
        <v>16</v>
      </c>
      <c r="D6" s="5">
        <f t="shared" si="0"/>
        <v>2</v>
      </c>
    </row>
    <row r="7" spans="1:9" x14ac:dyDescent="0.25">
      <c r="A7" s="10">
        <v>43326</v>
      </c>
      <c r="B7" s="5" t="s">
        <v>58</v>
      </c>
      <c r="C7" s="5">
        <v>6</v>
      </c>
      <c r="D7" s="5">
        <f t="shared" si="0"/>
        <v>0.75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43333</v>
      </c>
      <c r="B9" s="5" t="s">
        <v>58</v>
      </c>
      <c r="C9" s="5">
        <v>3</v>
      </c>
      <c r="D9" s="5">
        <f t="shared" si="0"/>
        <v>0.375</v>
      </c>
    </row>
    <row r="10" spans="1:9" x14ac:dyDescent="0.25">
      <c r="A10" s="10">
        <v>43363</v>
      </c>
      <c r="B10" s="5" t="s">
        <v>26</v>
      </c>
      <c r="C10" s="5">
        <v>2</v>
      </c>
      <c r="D10" s="5">
        <f t="shared" si="0"/>
        <v>0.25</v>
      </c>
    </row>
    <row r="11" spans="1:9" x14ac:dyDescent="0.25">
      <c r="A11" s="10">
        <v>43375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43392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43495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43550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0.5</v>
      </c>
      <c r="D19" s="5">
        <f t="shared" si="0"/>
        <v>6.25E-2</v>
      </c>
    </row>
    <row r="20" spans="1:4" x14ac:dyDescent="0.25">
      <c r="A20" s="10">
        <v>43570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43572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4" sqref="A14:XFD1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20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43255</v>
      </c>
      <c r="B4" s="5" t="s">
        <v>26</v>
      </c>
      <c r="C4" s="5">
        <v>90</v>
      </c>
      <c r="D4" s="5">
        <f>C4/8</f>
        <v>11.25</v>
      </c>
      <c r="I4" s="5" t="s">
        <v>28</v>
      </c>
    </row>
    <row r="5" spans="1:9" x14ac:dyDescent="0.25">
      <c r="A5" s="10">
        <v>43311</v>
      </c>
      <c r="B5" s="5" t="s">
        <v>26</v>
      </c>
      <c r="C5" s="5">
        <v>20</v>
      </c>
      <c r="D5" s="5">
        <f t="shared" ref="D5:D68" si="0">C5/8</f>
        <v>2.5</v>
      </c>
    </row>
    <row r="6" spans="1:9" x14ac:dyDescent="0.25">
      <c r="A6" s="10">
        <v>43319</v>
      </c>
      <c r="B6" s="5" t="s">
        <v>58</v>
      </c>
      <c r="C6" s="5">
        <v>12</v>
      </c>
      <c r="D6" s="5">
        <f t="shared" si="0"/>
        <v>1.5</v>
      </c>
    </row>
    <row r="7" spans="1:9" x14ac:dyDescent="0.25">
      <c r="A7" s="10">
        <v>43325</v>
      </c>
      <c r="B7" s="5" t="s">
        <v>26</v>
      </c>
      <c r="C7" s="5">
        <v>8</v>
      </c>
      <c r="D7" s="5">
        <f t="shared" si="0"/>
        <v>1</v>
      </c>
    </row>
    <row r="8" spans="1:9" x14ac:dyDescent="0.25">
      <c r="A8" s="10">
        <v>43332</v>
      </c>
      <c r="B8" s="5" t="s">
        <v>26</v>
      </c>
      <c r="C8" s="5">
        <v>1</v>
      </c>
      <c r="D8" s="5">
        <f t="shared" si="0"/>
        <v>0.125</v>
      </c>
    </row>
    <row r="9" spans="1:9" x14ac:dyDescent="0.25">
      <c r="A9" s="10">
        <v>43332</v>
      </c>
      <c r="B9" s="5" t="s">
        <v>79</v>
      </c>
      <c r="C9" s="5">
        <v>-15.2</v>
      </c>
      <c r="D9" s="5">
        <f t="shared" si="0"/>
        <v>-1.9</v>
      </c>
    </row>
    <row r="10" spans="1:9" x14ac:dyDescent="0.25">
      <c r="A10" s="10">
        <v>43362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43513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43549</v>
      </c>
      <c r="B12" s="5" t="s">
        <v>88</v>
      </c>
      <c r="C12" s="5">
        <v>0.5</v>
      </c>
      <c r="D12" s="5">
        <f t="shared" si="0"/>
        <v>6.25E-2</v>
      </c>
    </row>
    <row r="13" spans="1:9" x14ac:dyDescent="0.25">
      <c r="A13" s="10">
        <v>43564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43566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5" sqref="A25:XFD25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33</v>
      </c>
      <c r="D4" s="5">
        <f>C4/8</f>
        <v>4.125</v>
      </c>
      <c r="E4" s="5">
        <v>1.3</v>
      </c>
      <c r="F4" s="5" t="s">
        <v>44</v>
      </c>
      <c r="I4" s="5" t="s">
        <v>54</v>
      </c>
    </row>
    <row r="5" spans="1:9" x14ac:dyDescent="0.25">
      <c r="A5" s="10">
        <v>43318</v>
      </c>
      <c r="B5" s="5" t="s">
        <v>26</v>
      </c>
      <c r="C5" s="5">
        <v>2</v>
      </c>
      <c r="D5" s="5">
        <f t="shared" ref="D5:D68" si="0">C5/8</f>
        <v>0.25</v>
      </c>
    </row>
    <row r="6" spans="1:9" x14ac:dyDescent="0.25">
      <c r="A6" s="10">
        <v>43332</v>
      </c>
      <c r="B6" s="5" t="s">
        <v>26</v>
      </c>
      <c r="C6" s="5">
        <v>0.5</v>
      </c>
      <c r="D6" s="5">
        <f t="shared" si="0"/>
        <v>6.25E-2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43370</v>
      </c>
      <c r="B8" s="5" t="s">
        <v>80</v>
      </c>
      <c r="C8" s="5">
        <v>0.25</v>
      </c>
      <c r="D8" s="5">
        <f t="shared" si="0"/>
        <v>3.125E-2</v>
      </c>
    </row>
    <row r="9" spans="1:9" x14ac:dyDescent="0.25">
      <c r="A9" s="10">
        <v>43418</v>
      </c>
      <c r="B9" s="5" t="s">
        <v>80</v>
      </c>
      <c r="C9" s="5">
        <v>0.25</v>
      </c>
      <c r="D9" s="5">
        <f t="shared" si="0"/>
        <v>3.125E-2</v>
      </c>
    </row>
    <row r="10" spans="1:9" x14ac:dyDescent="0.25">
      <c r="A10" s="10">
        <v>43476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43489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43493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43516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43523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43551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43558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43564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43566</v>
      </c>
      <c r="B23" s="5" t="s">
        <v>26</v>
      </c>
      <c r="C23" s="5">
        <v>0.25</v>
      </c>
      <c r="D23" s="5">
        <f t="shared" si="0"/>
        <v>3.125E-2</v>
      </c>
    </row>
    <row r="24" spans="1:4" x14ac:dyDescent="0.25">
      <c r="A24" s="10">
        <v>43570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A25" s="10">
        <v>43572</v>
      </c>
      <c r="B25" s="5" t="s">
        <v>88</v>
      </c>
      <c r="C25" s="5">
        <v>0.25</v>
      </c>
      <c r="D25" s="5">
        <f t="shared" si="0"/>
        <v>3.125E-2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43253</v>
      </c>
      <c r="B4" s="5" t="s">
        <v>26</v>
      </c>
      <c r="C4" s="5">
        <v>65</v>
      </c>
      <c r="D4" s="5">
        <f t="shared" ref="D4:D67" si="0">C4/8</f>
        <v>8.125</v>
      </c>
      <c r="I4" s="5" t="s">
        <v>32</v>
      </c>
    </row>
    <row r="5" spans="1:9" x14ac:dyDescent="0.25">
      <c r="A5" s="10">
        <v>43318</v>
      </c>
      <c r="B5" s="5" t="s">
        <v>26</v>
      </c>
      <c r="C5" s="5">
        <v>-20</v>
      </c>
      <c r="D5" s="5">
        <f t="shared" si="0"/>
        <v>-2.5</v>
      </c>
    </row>
    <row r="6" spans="1:9" x14ac:dyDescent="0.25">
      <c r="A6" s="10">
        <v>43325</v>
      </c>
      <c r="B6" s="5" t="s">
        <v>26</v>
      </c>
      <c r="C6" s="5">
        <v>-16</v>
      </c>
      <c r="D6" s="5">
        <f t="shared" si="0"/>
        <v>-2</v>
      </c>
    </row>
    <row r="7" spans="1:9" x14ac:dyDescent="0.25">
      <c r="A7" s="10">
        <v>43332</v>
      </c>
      <c r="B7" s="5" t="s">
        <v>26</v>
      </c>
      <c r="C7" s="5">
        <v>1</v>
      </c>
      <c r="D7" s="5">
        <f t="shared" si="0"/>
        <v>0.125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43370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43389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43513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43516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43550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43551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43552</v>
      </c>
      <c r="B19" s="5" t="s">
        <v>88</v>
      </c>
      <c r="C19" s="5">
        <v>1</v>
      </c>
      <c r="D19" s="5">
        <f t="shared" si="0"/>
        <v>0.125</v>
      </c>
    </row>
    <row r="20" spans="1:4" x14ac:dyDescent="0.25">
      <c r="A20" s="10">
        <v>43558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98</v>
      </c>
      <c r="D4" s="5">
        <f>C4/8</f>
        <v>12.25</v>
      </c>
      <c r="E4" s="5">
        <v>1.3</v>
      </c>
      <c r="F4" s="5" t="s">
        <v>36</v>
      </c>
      <c r="I4" s="5" t="s">
        <v>43</v>
      </c>
    </row>
    <row r="5" spans="1:9" x14ac:dyDescent="0.25">
      <c r="A5" s="10">
        <v>43308</v>
      </c>
      <c r="B5" s="5" t="s">
        <v>58</v>
      </c>
      <c r="C5" s="5">
        <v>32</v>
      </c>
      <c r="D5" s="5">
        <f t="shared" ref="D5:D68" si="0">C5/8</f>
        <v>4</v>
      </c>
      <c r="I5" s="5" t="s">
        <v>61</v>
      </c>
    </row>
    <row r="6" spans="1:9" x14ac:dyDescent="0.25">
      <c r="A6" s="10">
        <v>43319</v>
      </c>
      <c r="B6" s="5" t="s">
        <v>58</v>
      </c>
      <c r="C6" s="5">
        <v>8</v>
      </c>
      <c r="D6" s="5">
        <f t="shared" si="0"/>
        <v>1</v>
      </c>
    </row>
    <row r="7" spans="1:9" x14ac:dyDescent="0.25">
      <c r="A7" s="10">
        <v>43326</v>
      </c>
      <c r="B7" s="5" t="s">
        <v>58</v>
      </c>
      <c r="C7" s="5">
        <v>6</v>
      </c>
      <c r="D7" s="5">
        <f t="shared" si="0"/>
        <v>0.75</v>
      </c>
    </row>
    <row r="8" spans="1:9" x14ac:dyDescent="0.25">
      <c r="A8" s="10">
        <v>43332</v>
      </c>
      <c r="B8" s="5" t="s">
        <v>26</v>
      </c>
      <c r="C8" s="5">
        <v>1</v>
      </c>
      <c r="D8" s="5">
        <f t="shared" si="0"/>
        <v>0.125</v>
      </c>
    </row>
    <row r="9" spans="1:9" x14ac:dyDescent="0.25">
      <c r="A9" s="10">
        <v>43332</v>
      </c>
      <c r="B9" s="5" t="s">
        <v>79</v>
      </c>
      <c r="C9" s="5">
        <v>-15.2</v>
      </c>
      <c r="D9" s="5">
        <f t="shared" si="0"/>
        <v>-1.9</v>
      </c>
    </row>
    <row r="10" spans="1:9" x14ac:dyDescent="0.25">
      <c r="A10" s="10">
        <v>43363</v>
      </c>
      <c r="B10" s="5" t="s">
        <v>26</v>
      </c>
      <c r="C10" s="5">
        <v>4</v>
      </c>
      <c r="D10" s="5">
        <f t="shared" si="0"/>
        <v>0.5</v>
      </c>
    </row>
    <row r="11" spans="1:9" x14ac:dyDescent="0.25">
      <c r="A11" s="10">
        <v>43375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43391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43475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43523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43558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G18" sqref="G18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43489</v>
      </c>
      <c r="B4" s="5" t="s">
        <v>80</v>
      </c>
      <c r="C4" s="5">
        <v>0.25</v>
      </c>
      <c r="D4" s="5">
        <f>C4/8</f>
        <v>3.125E-2</v>
      </c>
      <c r="I4" s="5" t="s">
        <v>11</v>
      </c>
    </row>
    <row r="5" spans="1:9" x14ac:dyDescent="0.25">
      <c r="A5" s="10">
        <v>43493</v>
      </c>
      <c r="B5" s="5" t="s">
        <v>80</v>
      </c>
      <c r="C5" s="5">
        <v>0.25</v>
      </c>
      <c r="D5" s="5">
        <f>C5/8</f>
        <v>3.125E-2</v>
      </c>
    </row>
    <row r="6" spans="1:9" x14ac:dyDescent="0.25">
      <c r="D6" s="5">
        <v>0</v>
      </c>
    </row>
    <row r="7" spans="1:9" x14ac:dyDescent="0.25">
      <c r="D7" s="5">
        <v>0</v>
      </c>
    </row>
    <row r="8" spans="1:9" x14ac:dyDescent="0.25">
      <c r="A8" s="10"/>
      <c r="D8" s="5">
        <f t="shared" ref="D8:D68" si="0">C8/8</f>
        <v>0</v>
      </c>
    </row>
    <row r="9" spans="1:9" x14ac:dyDescent="0.25">
      <c r="D9" s="5">
        <f t="shared" si="0"/>
        <v>0</v>
      </c>
    </row>
    <row r="10" spans="1:9" x14ac:dyDescent="0.25">
      <c r="D10" s="5">
        <f t="shared" si="0"/>
        <v>0</v>
      </c>
    </row>
    <row r="11" spans="1:9" x14ac:dyDescent="0.25">
      <c r="D11" s="5">
        <f t="shared" si="0"/>
        <v>0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2"/>
  <sheetViews>
    <sheetView workbookViewId="0">
      <selection activeCell="A14" sqref="A14:XFD1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69</v>
      </c>
      <c r="D4" s="5">
        <f>C4/8</f>
        <v>8.625</v>
      </c>
      <c r="E4" s="5">
        <v>1.2</v>
      </c>
      <c r="F4" s="5" t="s">
        <v>36</v>
      </c>
      <c r="I4" s="5" t="s">
        <v>35</v>
      </c>
    </row>
    <row r="5" spans="1:9" x14ac:dyDescent="0.25">
      <c r="A5" s="10">
        <v>43318</v>
      </c>
      <c r="B5" s="5" t="s">
        <v>26</v>
      </c>
      <c r="C5" s="5">
        <v>-8</v>
      </c>
      <c r="D5" s="5">
        <f t="shared" ref="D5:D70" si="0">C5/8</f>
        <v>-1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43362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43418</v>
      </c>
      <c r="B8" s="5" t="s">
        <v>80</v>
      </c>
      <c r="C8" s="5">
        <v>0.25</v>
      </c>
      <c r="D8" s="5">
        <f t="shared" si="0"/>
        <v>3.125E-2</v>
      </c>
    </row>
    <row r="9" spans="1:9" x14ac:dyDescent="0.25">
      <c r="A9" s="10">
        <v>43513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43516</v>
      </c>
      <c r="B10" s="5" t="s">
        <v>26</v>
      </c>
      <c r="C10" s="5">
        <v>0.25</v>
      </c>
      <c r="D10" s="5">
        <f t="shared" si="0"/>
        <v>3.125E-2</v>
      </c>
    </row>
    <row r="11" spans="1:9" x14ac:dyDescent="0.25">
      <c r="A11" s="10">
        <v>43520</v>
      </c>
      <c r="B11" s="5" t="s">
        <v>88</v>
      </c>
      <c r="C11" s="5">
        <v>0.25</v>
      </c>
      <c r="D11" s="5">
        <f t="shared" si="0"/>
        <v>3.125E-2</v>
      </c>
    </row>
    <row r="12" spans="1:9" x14ac:dyDescent="0.25">
      <c r="A12" s="10">
        <v>43549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43558</v>
      </c>
      <c r="B13" s="5" t="s">
        <v>88</v>
      </c>
      <c r="C13" s="5">
        <v>0.25</v>
      </c>
      <c r="D13" s="5">
        <f>C13/8</f>
        <v>3.125E-2</v>
      </c>
    </row>
    <row r="14" spans="1:9" x14ac:dyDescent="0.25">
      <c r="A14" s="10">
        <v>43564</v>
      </c>
      <c r="B14" s="5" t="s">
        <v>26</v>
      </c>
      <c r="C14" s="5">
        <v>0.5</v>
      </c>
      <c r="D14" s="5">
        <f t="shared" ref="D14" si="1">C14/8</f>
        <v>6.25E-2</v>
      </c>
    </row>
    <row r="15" spans="1:9" x14ac:dyDescent="0.25">
      <c r="D15" s="5">
        <f t="shared" si="0"/>
        <v>0</v>
      </c>
    </row>
    <row r="16" spans="1:9" x14ac:dyDescent="0.25">
      <c r="D16" s="5">
        <f t="shared" si="0"/>
        <v>0</v>
      </c>
    </row>
    <row r="17" spans="1:4" x14ac:dyDescent="0.25"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A19" s="10"/>
      <c r="D19" s="5">
        <f t="shared" si="0"/>
        <v>0</v>
      </c>
    </row>
    <row r="20" spans="1:4" x14ac:dyDescent="0.25">
      <c r="A20" s="10"/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si="0"/>
        <v>0</v>
      </c>
    </row>
    <row r="70" spans="4:4" x14ac:dyDescent="0.25">
      <c r="D70" s="5">
        <f t="shared" si="0"/>
        <v>0</v>
      </c>
    </row>
    <row r="71" spans="4:4" x14ac:dyDescent="0.25">
      <c r="D71" s="5">
        <f t="shared" ref="D71:D82" si="2">C71/8</f>
        <v>0</v>
      </c>
    </row>
    <row r="72" spans="4:4" x14ac:dyDescent="0.25">
      <c r="D72" s="5">
        <f t="shared" si="2"/>
        <v>0</v>
      </c>
    </row>
    <row r="73" spans="4:4" x14ac:dyDescent="0.25">
      <c r="D73" s="5">
        <f t="shared" si="2"/>
        <v>0</v>
      </c>
    </row>
    <row r="74" spans="4:4" x14ac:dyDescent="0.25">
      <c r="D74" s="5">
        <f t="shared" si="2"/>
        <v>0</v>
      </c>
    </row>
    <row r="75" spans="4:4" x14ac:dyDescent="0.25">
      <c r="D75" s="5">
        <f t="shared" si="2"/>
        <v>0</v>
      </c>
    </row>
    <row r="76" spans="4:4" x14ac:dyDescent="0.25">
      <c r="D76" s="5">
        <f t="shared" si="2"/>
        <v>0</v>
      </c>
    </row>
    <row r="77" spans="4:4" x14ac:dyDescent="0.25">
      <c r="D77" s="5">
        <f t="shared" si="2"/>
        <v>0</v>
      </c>
    </row>
    <row r="78" spans="4:4" x14ac:dyDescent="0.25">
      <c r="D78" s="5">
        <f t="shared" si="2"/>
        <v>0</v>
      </c>
    </row>
    <row r="79" spans="4:4" x14ac:dyDescent="0.25">
      <c r="D79" s="5">
        <f t="shared" si="2"/>
        <v>0</v>
      </c>
    </row>
    <row r="80" spans="4:4" x14ac:dyDescent="0.25">
      <c r="D80" s="5">
        <f t="shared" si="2"/>
        <v>0</v>
      </c>
    </row>
    <row r="81" spans="4:4" x14ac:dyDescent="0.25">
      <c r="D81" s="5">
        <f t="shared" si="2"/>
        <v>0</v>
      </c>
    </row>
    <row r="82" spans="4:4" x14ac:dyDescent="0.25">
      <c r="D82" s="5">
        <f t="shared" si="2"/>
        <v>0</v>
      </c>
    </row>
  </sheetData>
  <mergeCells count="1">
    <mergeCell ref="A1:B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1"/>
  <sheetViews>
    <sheetView workbookViewId="0">
      <selection activeCell="A20" sqref="A20:XFD20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91.5</v>
      </c>
      <c r="D4" s="5">
        <f>C4/8</f>
        <v>11.4375</v>
      </c>
      <c r="E4" s="5">
        <v>1.3</v>
      </c>
      <c r="F4" s="5" t="s">
        <v>36</v>
      </c>
      <c r="I4" s="5" t="s">
        <v>56</v>
      </c>
    </row>
    <row r="5" spans="1:9" x14ac:dyDescent="0.25">
      <c r="A5" s="10">
        <v>43311</v>
      </c>
      <c r="B5" s="5" t="s">
        <v>26</v>
      </c>
      <c r="C5" s="5">
        <v>-8</v>
      </c>
      <c r="D5" s="5">
        <f t="shared" ref="D5:D69" si="0">C5/8</f>
        <v>-1</v>
      </c>
    </row>
    <row r="6" spans="1:9" x14ac:dyDescent="0.25">
      <c r="A6" s="10">
        <v>43319</v>
      </c>
      <c r="B6" s="5" t="s">
        <v>58</v>
      </c>
      <c r="C6" s="5">
        <v>-32</v>
      </c>
      <c r="D6" s="5">
        <f t="shared" si="0"/>
        <v>-4</v>
      </c>
    </row>
    <row r="7" spans="1:9" x14ac:dyDescent="0.25">
      <c r="A7" s="10">
        <v>43332</v>
      </c>
      <c r="B7" s="5" t="s">
        <v>26</v>
      </c>
      <c r="C7" s="5">
        <v>0.5</v>
      </c>
      <c r="D7" s="5">
        <f t="shared" si="0"/>
        <v>6.25E-2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43374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43418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43476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43516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43549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43550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43551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43558</v>
      </c>
      <c r="B18" s="5" t="s">
        <v>88</v>
      </c>
      <c r="C18" s="5">
        <v>0.5</v>
      </c>
      <c r="D18" s="5">
        <f>C18/8</f>
        <v>6.25E-2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ref="D19:D20" si="1">C19/8</f>
        <v>3.125E-2</v>
      </c>
    </row>
    <row r="20" spans="1:4" x14ac:dyDescent="0.25">
      <c r="A20" s="10">
        <v>43566</v>
      </c>
      <c r="B20" s="5" t="s">
        <v>26</v>
      </c>
      <c r="C20" s="5">
        <v>0.25</v>
      </c>
      <c r="D20" s="5">
        <f t="shared" si="1"/>
        <v>3.125E-2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si="0"/>
        <v>0</v>
      </c>
    </row>
    <row r="70" spans="4:4" x14ac:dyDescent="0.25">
      <c r="D70" s="5">
        <f t="shared" ref="D70:D81" si="2">C70/8</f>
        <v>0</v>
      </c>
    </row>
    <row r="71" spans="4:4" x14ac:dyDescent="0.25">
      <c r="D71" s="5">
        <f t="shared" si="2"/>
        <v>0</v>
      </c>
    </row>
    <row r="72" spans="4:4" x14ac:dyDescent="0.25">
      <c r="D72" s="5">
        <f t="shared" si="2"/>
        <v>0</v>
      </c>
    </row>
    <row r="73" spans="4:4" x14ac:dyDescent="0.25">
      <c r="D73" s="5">
        <f t="shared" si="2"/>
        <v>0</v>
      </c>
    </row>
    <row r="74" spans="4:4" x14ac:dyDescent="0.25">
      <c r="D74" s="5">
        <f t="shared" si="2"/>
        <v>0</v>
      </c>
    </row>
    <row r="75" spans="4:4" x14ac:dyDescent="0.25">
      <c r="D75" s="5">
        <f t="shared" si="2"/>
        <v>0</v>
      </c>
    </row>
    <row r="76" spans="4:4" x14ac:dyDescent="0.25">
      <c r="D76" s="5">
        <f t="shared" si="2"/>
        <v>0</v>
      </c>
    </row>
    <row r="77" spans="4:4" x14ac:dyDescent="0.25">
      <c r="D77" s="5">
        <f t="shared" si="2"/>
        <v>0</v>
      </c>
    </row>
    <row r="78" spans="4:4" x14ac:dyDescent="0.25">
      <c r="D78" s="5">
        <f t="shared" si="2"/>
        <v>0</v>
      </c>
    </row>
    <row r="79" spans="4:4" x14ac:dyDescent="0.25">
      <c r="D79" s="5">
        <f t="shared" si="2"/>
        <v>0</v>
      </c>
    </row>
    <row r="80" spans="4:4" x14ac:dyDescent="0.25">
      <c r="D80" s="5">
        <f t="shared" si="2"/>
        <v>0</v>
      </c>
    </row>
    <row r="81" spans="4:4" x14ac:dyDescent="0.25">
      <c r="D81" s="5">
        <f t="shared" si="2"/>
        <v>0</v>
      </c>
    </row>
  </sheetData>
  <mergeCells count="1">
    <mergeCell ref="A1:B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8" sqref="A28:XFD28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27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76</v>
      </c>
      <c r="D4" s="5">
        <f>C4/8</f>
        <v>9.5</v>
      </c>
      <c r="E4" s="5">
        <v>1.4</v>
      </c>
      <c r="F4" s="5" t="s">
        <v>36</v>
      </c>
      <c r="I4" s="5" t="s">
        <v>53</v>
      </c>
    </row>
    <row r="5" spans="1:9" x14ac:dyDescent="0.25">
      <c r="A5" s="10">
        <v>43318</v>
      </c>
      <c r="B5" s="5" t="s">
        <v>26</v>
      </c>
      <c r="C5" s="5">
        <v>-8</v>
      </c>
      <c r="D5" s="5">
        <f t="shared" ref="D5:D68" si="0">C5/8</f>
        <v>-1</v>
      </c>
    </row>
    <row r="6" spans="1:9" x14ac:dyDescent="0.25">
      <c r="A6" s="10">
        <v>43325</v>
      </c>
      <c r="B6" s="5" t="s">
        <v>26</v>
      </c>
      <c r="C6" s="5">
        <v>-16</v>
      </c>
      <c r="D6" s="5">
        <f t="shared" si="0"/>
        <v>-2</v>
      </c>
    </row>
    <row r="7" spans="1:9" x14ac:dyDescent="0.25">
      <c r="A7" s="10">
        <v>43332</v>
      </c>
      <c r="B7" s="5" t="s">
        <v>26</v>
      </c>
      <c r="C7" s="5">
        <v>0.5</v>
      </c>
      <c r="D7" s="5">
        <f t="shared" si="0"/>
        <v>6.25E-2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43371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43389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43476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43489</v>
      </c>
      <c r="B14" s="5" t="s">
        <v>80</v>
      </c>
      <c r="C14" s="5">
        <v>0.5</v>
      </c>
      <c r="D14" s="5">
        <f t="shared" si="0"/>
        <v>6.25E-2</v>
      </c>
    </row>
    <row r="15" spans="1:9" x14ac:dyDescent="0.25">
      <c r="A15" s="10">
        <v>43493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43513</v>
      </c>
      <c r="B16" s="5" t="s">
        <v>26</v>
      </c>
      <c r="C16" s="5">
        <v>0.5</v>
      </c>
      <c r="D16" s="5">
        <f t="shared" si="0"/>
        <v>6.25E-2</v>
      </c>
    </row>
    <row r="17" spans="1:4" x14ac:dyDescent="0.25">
      <c r="A17" s="10">
        <v>43520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43523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43536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43549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43550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A22" s="10">
        <v>43551</v>
      </c>
      <c r="B22" s="5" t="s">
        <v>88</v>
      </c>
      <c r="C22" s="5">
        <v>0.5</v>
      </c>
      <c r="D22" s="5">
        <f t="shared" si="0"/>
        <v>6.25E-2</v>
      </c>
    </row>
    <row r="23" spans="1:4" x14ac:dyDescent="0.25">
      <c r="A23" s="10">
        <v>43552</v>
      </c>
      <c r="B23" s="5" t="s">
        <v>88</v>
      </c>
      <c r="C23" s="5">
        <v>10</v>
      </c>
      <c r="D23" s="5">
        <f t="shared" si="0"/>
        <v>1.25</v>
      </c>
    </row>
    <row r="24" spans="1:4" x14ac:dyDescent="0.25">
      <c r="A24" s="10">
        <v>43558</v>
      </c>
      <c r="B24" s="5" t="s">
        <v>88</v>
      </c>
      <c r="C24" s="5">
        <v>0.5</v>
      </c>
      <c r="D24" s="5">
        <f t="shared" si="0"/>
        <v>6.25E-2</v>
      </c>
    </row>
    <row r="25" spans="1:4" x14ac:dyDescent="0.25">
      <c r="A25" s="10">
        <v>43564</v>
      </c>
      <c r="B25" s="5" t="s">
        <v>26</v>
      </c>
      <c r="C25" s="5">
        <v>0.25</v>
      </c>
      <c r="D25" s="5">
        <f t="shared" si="0"/>
        <v>3.125E-2</v>
      </c>
    </row>
    <row r="26" spans="1:4" x14ac:dyDescent="0.25">
      <c r="A26" s="10">
        <v>43566</v>
      </c>
      <c r="B26" s="5" t="s">
        <v>26</v>
      </c>
      <c r="C26" s="5">
        <v>0.25</v>
      </c>
      <c r="D26" s="5">
        <f t="shared" si="0"/>
        <v>3.125E-2</v>
      </c>
    </row>
    <row r="27" spans="1:4" x14ac:dyDescent="0.25">
      <c r="A27" s="10">
        <v>43570</v>
      </c>
      <c r="B27" s="5" t="s">
        <v>88</v>
      </c>
      <c r="C27" s="5">
        <v>0.5</v>
      </c>
      <c r="D27" s="5">
        <f t="shared" si="0"/>
        <v>6.25E-2</v>
      </c>
    </row>
    <row r="28" spans="1:4" x14ac:dyDescent="0.25">
      <c r="A28" s="10">
        <v>43572</v>
      </c>
      <c r="B28" s="5" t="s">
        <v>88</v>
      </c>
      <c r="C28" s="5">
        <v>0.5</v>
      </c>
      <c r="D28" s="5">
        <f t="shared" si="0"/>
        <v>6.25E-2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9" sqref="A9:XFD9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28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43253</v>
      </c>
      <c r="B4" s="5" t="s">
        <v>26</v>
      </c>
      <c r="C4" s="5">
        <v>65</v>
      </c>
      <c r="D4" s="5">
        <f t="shared" ref="D4:D67" si="0">C4/8</f>
        <v>8.125</v>
      </c>
      <c r="I4" s="5" t="s">
        <v>33</v>
      </c>
    </row>
    <row r="5" spans="1:9" x14ac:dyDescent="0.25">
      <c r="A5" s="10">
        <v>43318</v>
      </c>
      <c r="B5" s="5" t="s">
        <v>26</v>
      </c>
      <c r="C5" s="5">
        <v>-8</v>
      </c>
      <c r="D5" s="5">
        <f t="shared" si="0"/>
        <v>-1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43488</v>
      </c>
      <c r="B7" s="5" t="s">
        <v>80</v>
      </c>
      <c r="C7" s="5">
        <v>0.25</v>
      </c>
      <c r="D7" s="5">
        <f t="shared" si="0"/>
        <v>3.125E-2</v>
      </c>
    </row>
    <row r="8" spans="1:9" x14ac:dyDescent="0.25">
      <c r="A8" s="10">
        <v>43513</v>
      </c>
      <c r="B8" s="5" t="s">
        <v>26</v>
      </c>
      <c r="C8" s="5">
        <v>0.5</v>
      </c>
      <c r="D8" s="5">
        <f t="shared" si="0"/>
        <v>6.25E-2</v>
      </c>
    </row>
    <row r="9" spans="1:9" x14ac:dyDescent="0.25">
      <c r="D9" s="5">
        <f t="shared" si="0"/>
        <v>0</v>
      </c>
    </row>
    <row r="10" spans="1:9" x14ac:dyDescent="0.25">
      <c r="D10" s="5">
        <f t="shared" si="0"/>
        <v>0</v>
      </c>
    </row>
    <row r="11" spans="1:9" x14ac:dyDescent="0.25">
      <c r="D11" s="5">
        <f t="shared" si="0"/>
        <v>0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A15" s="10"/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1" sqref="A11:XFD1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29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82</v>
      </c>
      <c r="D4" s="5">
        <f>C4/8</f>
        <v>10.25</v>
      </c>
      <c r="E4" s="5">
        <v>1.4</v>
      </c>
      <c r="F4" s="5" t="s">
        <v>36</v>
      </c>
      <c r="I4" s="5" t="s">
        <v>43</v>
      </c>
    </row>
    <row r="5" spans="1:9" x14ac:dyDescent="0.25">
      <c r="A5" s="10">
        <v>43319</v>
      </c>
      <c r="B5" s="5" t="s">
        <v>58</v>
      </c>
      <c r="C5" s="5">
        <v>-20</v>
      </c>
      <c r="D5" s="5">
        <f t="shared" ref="D5:D68" si="0">C5/8</f>
        <v>-2.5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43513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43516</v>
      </c>
      <c r="B8" s="5" t="s">
        <v>26</v>
      </c>
      <c r="C8" s="5">
        <v>0.25</v>
      </c>
      <c r="D8" s="5">
        <f t="shared" si="0"/>
        <v>3.125E-2</v>
      </c>
    </row>
    <row r="9" spans="1:9" x14ac:dyDescent="0.25">
      <c r="A9" s="10">
        <v>43520</v>
      </c>
      <c r="B9" s="5" t="s">
        <v>88</v>
      </c>
      <c r="C9" s="5">
        <v>0.25</v>
      </c>
      <c r="D9" s="5">
        <f t="shared" si="0"/>
        <v>3.125E-2</v>
      </c>
    </row>
    <row r="10" spans="1:9" x14ac:dyDescent="0.25">
      <c r="A10" s="10">
        <v>43564</v>
      </c>
      <c r="B10" s="5" t="s">
        <v>26</v>
      </c>
      <c r="C10" s="5">
        <v>0.25</v>
      </c>
      <c r="D10" s="5">
        <f t="shared" si="0"/>
        <v>3.125E-2</v>
      </c>
    </row>
    <row r="11" spans="1:9" x14ac:dyDescent="0.25">
      <c r="A11" s="10">
        <v>43566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8" sqref="A18:XFD18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30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72</v>
      </c>
      <c r="D4" s="5">
        <f>C4/8</f>
        <v>9</v>
      </c>
      <c r="E4" s="5">
        <v>1.5</v>
      </c>
      <c r="F4" s="5" t="s">
        <v>36</v>
      </c>
      <c r="I4" s="5" t="s">
        <v>37</v>
      </c>
    </row>
    <row r="5" spans="1:9" x14ac:dyDescent="0.25">
      <c r="A5" s="10">
        <v>43318</v>
      </c>
      <c r="B5" s="5" t="s">
        <v>26</v>
      </c>
      <c r="C5" s="5">
        <v>-8</v>
      </c>
      <c r="D5" s="5">
        <f t="shared" ref="D5:D68" si="0">C5/8</f>
        <v>-1</v>
      </c>
    </row>
    <row r="6" spans="1:9" x14ac:dyDescent="0.25">
      <c r="A6" s="10">
        <v>43332</v>
      </c>
      <c r="B6" s="5" t="s">
        <v>26</v>
      </c>
      <c r="C6" s="5">
        <v>0.5</v>
      </c>
      <c r="D6" s="5">
        <f t="shared" si="0"/>
        <v>6.25E-2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43362</v>
      </c>
      <c r="B8" s="5" t="s">
        <v>26</v>
      </c>
      <c r="C8" s="5">
        <v>1</v>
      </c>
      <c r="D8" s="5">
        <f t="shared" si="0"/>
        <v>0.125</v>
      </c>
    </row>
    <row r="9" spans="1:9" x14ac:dyDescent="0.25">
      <c r="A9" s="10">
        <v>43389</v>
      </c>
      <c r="B9" s="5" t="s">
        <v>80</v>
      </c>
      <c r="C9" s="5">
        <v>0.5</v>
      </c>
      <c r="D9" s="5">
        <f>C9/8</f>
        <v>6.25E-2</v>
      </c>
    </row>
    <row r="10" spans="1:9" x14ac:dyDescent="0.25">
      <c r="A10" s="10">
        <v>43418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43513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43516</v>
      </c>
      <c r="B12" s="5" t="s">
        <v>26</v>
      </c>
      <c r="C12" s="5">
        <v>0.25</v>
      </c>
      <c r="D12" s="5">
        <f t="shared" si="0"/>
        <v>3.125E-2</v>
      </c>
    </row>
    <row r="13" spans="1:9" x14ac:dyDescent="0.25">
      <c r="A13" s="10">
        <v>43520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43523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43564</v>
      </c>
      <c r="B17" s="5" t="s">
        <v>26</v>
      </c>
      <c r="C17" s="5">
        <v>0.5</v>
      </c>
      <c r="D17" s="5">
        <f t="shared" si="0"/>
        <v>6.25E-2</v>
      </c>
    </row>
    <row r="18" spans="1:4" x14ac:dyDescent="0.25">
      <c r="A18" s="10">
        <v>43566</v>
      </c>
      <c r="B18" s="5" t="s">
        <v>26</v>
      </c>
      <c r="C18" s="5">
        <v>0.5</v>
      </c>
      <c r="D18" s="5">
        <f t="shared" si="0"/>
        <v>6.25E-2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6" sqref="A26:XFD26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76</v>
      </c>
      <c r="D4" s="5">
        <f>C4/8</f>
        <v>9.5</v>
      </c>
      <c r="E4" s="5">
        <v>1.4</v>
      </c>
      <c r="I4" s="5" t="s">
        <v>43</v>
      </c>
    </row>
    <row r="5" spans="1:9" x14ac:dyDescent="0.25">
      <c r="A5" s="10">
        <v>43318</v>
      </c>
      <c r="B5" s="5" t="s">
        <v>26</v>
      </c>
      <c r="C5" s="5">
        <v>-20</v>
      </c>
      <c r="D5" s="5">
        <f t="shared" ref="D5:D68" si="0">C5/8</f>
        <v>-2.5</v>
      </c>
    </row>
    <row r="6" spans="1:9" x14ac:dyDescent="0.25">
      <c r="A6" s="10">
        <v>43325</v>
      </c>
      <c r="B6" s="5" t="s">
        <v>26</v>
      </c>
      <c r="C6" s="5">
        <v>-8</v>
      </c>
      <c r="D6" s="5">
        <f t="shared" si="0"/>
        <v>-1</v>
      </c>
    </row>
    <row r="7" spans="1:9" x14ac:dyDescent="0.25">
      <c r="A7" s="10">
        <v>43332</v>
      </c>
      <c r="B7" s="5" t="s">
        <v>26</v>
      </c>
      <c r="C7" s="5">
        <v>0.5</v>
      </c>
      <c r="D7" s="5">
        <f t="shared" si="0"/>
        <v>6.25E-2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43418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43489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43493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0.5</v>
      </c>
      <c r="D13" s="5">
        <f t="shared" si="0"/>
        <v>6.25E-2</v>
      </c>
    </row>
    <row r="14" spans="1:9" x14ac:dyDescent="0.25">
      <c r="A14" s="10">
        <v>43516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43523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43550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43551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43552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A22" s="10">
        <v>43558</v>
      </c>
      <c r="B22" s="5" t="s">
        <v>88</v>
      </c>
      <c r="C22" s="5">
        <v>0.5</v>
      </c>
      <c r="D22" s="5">
        <f t="shared" si="0"/>
        <v>6.25E-2</v>
      </c>
    </row>
    <row r="23" spans="1:4" x14ac:dyDescent="0.25">
      <c r="A23" s="10">
        <v>43564</v>
      </c>
      <c r="B23" s="5" t="s">
        <v>26</v>
      </c>
      <c r="C23" s="5">
        <v>0.25</v>
      </c>
      <c r="D23" s="5">
        <f t="shared" si="0"/>
        <v>3.125E-2</v>
      </c>
    </row>
    <row r="24" spans="1:4" x14ac:dyDescent="0.25">
      <c r="A24" s="10">
        <v>43566</v>
      </c>
      <c r="B24" s="5" t="s">
        <v>26</v>
      </c>
      <c r="C24" s="5">
        <v>0.25</v>
      </c>
      <c r="D24" s="5">
        <f t="shared" si="0"/>
        <v>3.125E-2</v>
      </c>
    </row>
    <row r="25" spans="1:4" x14ac:dyDescent="0.25">
      <c r="A25" s="10">
        <v>43570</v>
      </c>
      <c r="B25" s="5" t="s">
        <v>88</v>
      </c>
      <c r="C25" s="5">
        <v>0.5</v>
      </c>
      <c r="D25" s="5">
        <f t="shared" si="0"/>
        <v>6.25E-2</v>
      </c>
    </row>
    <row r="26" spans="1:4" x14ac:dyDescent="0.25">
      <c r="A26" s="10">
        <v>43572</v>
      </c>
      <c r="B26" s="5" t="s">
        <v>88</v>
      </c>
      <c r="C26" s="5">
        <v>0.5</v>
      </c>
      <c r="D26" s="5">
        <f t="shared" si="0"/>
        <v>6.25E-2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18" sqref="A18:XFD18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43253</v>
      </c>
      <c r="B4" s="5" t="s">
        <v>26</v>
      </c>
      <c r="C4" s="5">
        <v>56</v>
      </c>
      <c r="D4" s="5">
        <f t="shared" ref="D4:D67" si="0">C4/8</f>
        <v>7</v>
      </c>
      <c r="I4" s="5" t="s">
        <v>34</v>
      </c>
    </row>
    <row r="5" spans="1:9" x14ac:dyDescent="0.25">
      <c r="A5" s="10">
        <v>43332</v>
      </c>
      <c r="B5" s="5" t="s">
        <v>79</v>
      </c>
      <c r="C5" s="5">
        <v>-15.2</v>
      </c>
      <c r="D5" s="5">
        <f t="shared" si="0"/>
        <v>-1.9</v>
      </c>
    </row>
    <row r="6" spans="1:9" x14ac:dyDescent="0.25">
      <c r="A6" s="10">
        <v>43362</v>
      </c>
      <c r="B6" s="5" t="s">
        <v>26</v>
      </c>
      <c r="C6" s="5">
        <v>16</v>
      </c>
      <c r="D6" s="5">
        <f t="shared" si="0"/>
        <v>2</v>
      </c>
    </row>
    <row r="7" spans="1:9" x14ac:dyDescent="0.25">
      <c r="A7" s="10">
        <v>43418</v>
      </c>
      <c r="B7" s="5" t="s">
        <v>80</v>
      </c>
      <c r="C7" s="5">
        <v>0.25</v>
      </c>
      <c r="D7" s="5">
        <f t="shared" si="0"/>
        <v>3.125E-2</v>
      </c>
    </row>
    <row r="8" spans="1:9" x14ac:dyDescent="0.25">
      <c r="A8" s="10">
        <v>43513</v>
      </c>
      <c r="B8" s="5" t="s">
        <v>26</v>
      </c>
      <c r="C8" s="5">
        <v>1</v>
      </c>
      <c r="D8" s="5">
        <f t="shared" si="0"/>
        <v>0.125</v>
      </c>
    </row>
    <row r="9" spans="1:9" x14ac:dyDescent="0.25">
      <c r="A9" s="10">
        <v>43516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43520</v>
      </c>
      <c r="B10" s="5" t="s">
        <v>88</v>
      </c>
      <c r="C10" s="5">
        <v>0.25</v>
      </c>
      <c r="D10" s="5">
        <f t="shared" si="0"/>
        <v>3.125E-2</v>
      </c>
    </row>
    <row r="11" spans="1:9" x14ac:dyDescent="0.25">
      <c r="A11" s="10">
        <v>43549</v>
      </c>
      <c r="B11" s="5" t="s">
        <v>88</v>
      </c>
      <c r="C11" s="5">
        <v>0.5</v>
      </c>
      <c r="D11" s="5">
        <f t="shared" si="0"/>
        <v>6.25E-2</v>
      </c>
    </row>
    <row r="12" spans="1:9" x14ac:dyDescent="0.25">
      <c r="A12" s="10">
        <v>43550</v>
      </c>
      <c r="B12" s="5" t="s">
        <v>88</v>
      </c>
      <c r="C12" s="5">
        <v>0.5</v>
      </c>
      <c r="D12" s="5">
        <f t="shared" si="0"/>
        <v>6.25E-2</v>
      </c>
    </row>
    <row r="13" spans="1:9" x14ac:dyDescent="0.25">
      <c r="A13" s="10">
        <v>43551</v>
      </c>
      <c r="B13" s="5" t="s">
        <v>88</v>
      </c>
      <c r="C13" s="5">
        <v>0.5</v>
      </c>
      <c r="D13" s="5">
        <f t="shared" si="0"/>
        <v>6.25E-2</v>
      </c>
    </row>
    <row r="14" spans="1:9" x14ac:dyDescent="0.25">
      <c r="A14" s="10">
        <v>43558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43564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43566</v>
      </c>
      <c r="B16" s="5" t="s">
        <v>26</v>
      </c>
      <c r="C16" s="5">
        <v>0.25</v>
      </c>
      <c r="D16" s="5">
        <f t="shared" si="0"/>
        <v>3.125E-2</v>
      </c>
    </row>
    <row r="17" spans="1:4" x14ac:dyDescent="0.25">
      <c r="A17" s="10">
        <v>43570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43572</v>
      </c>
      <c r="B18" s="5" t="s">
        <v>88</v>
      </c>
      <c r="C18" s="5">
        <v>0.5</v>
      </c>
      <c r="D18" s="5">
        <f t="shared" ref="D18" si="1">C18/8</f>
        <v>6.25E-2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2">C68/8</f>
        <v>0</v>
      </c>
    </row>
    <row r="69" spans="4:4" x14ac:dyDescent="0.25">
      <c r="D69" s="5">
        <f t="shared" si="2"/>
        <v>0</v>
      </c>
    </row>
    <row r="70" spans="4:4" x14ac:dyDescent="0.25">
      <c r="D70" s="5">
        <f t="shared" si="2"/>
        <v>0</v>
      </c>
    </row>
    <row r="71" spans="4:4" x14ac:dyDescent="0.25">
      <c r="D71" s="5">
        <f t="shared" si="2"/>
        <v>0</v>
      </c>
    </row>
    <row r="72" spans="4:4" x14ac:dyDescent="0.25">
      <c r="D72" s="5">
        <f t="shared" si="2"/>
        <v>0</v>
      </c>
    </row>
    <row r="73" spans="4:4" x14ac:dyDescent="0.25">
      <c r="D73" s="5">
        <f t="shared" si="2"/>
        <v>0</v>
      </c>
    </row>
    <row r="74" spans="4:4" x14ac:dyDescent="0.25">
      <c r="D74" s="5">
        <f t="shared" si="2"/>
        <v>0</v>
      </c>
    </row>
    <row r="75" spans="4:4" x14ac:dyDescent="0.25">
      <c r="D75" s="5">
        <f t="shared" si="2"/>
        <v>0</v>
      </c>
    </row>
    <row r="76" spans="4:4" x14ac:dyDescent="0.25">
      <c r="D76" s="5">
        <f t="shared" si="2"/>
        <v>0</v>
      </c>
    </row>
    <row r="77" spans="4:4" x14ac:dyDescent="0.25">
      <c r="D77" s="5">
        <f t="shared" si="2"/>
        <v>0</v>
      </c>
    </row>
    <row r="78" spans="4:4" x14ac:dyDescent="0.25">
      <c r="D78" s="5">
        <f t="shared" si="2"/>
        <v>0</v>
      </c>
    </row>
    <row r="79" spans="4:4" x14ac:dyDescent="0.25">
      <c r="D79" s="5">
        <f t="shared" si="2"/>
        <v>0</v>
      </c>
    </row>
  </sheetData>
  <mergeCells count="1">
    <mergeCell ref="A1:B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9" sqref="A9:XFD9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55</v>
      </c>
      <c r="D4" s="5">
        <f>C4/8</f>
        <v>6.875</v>
      </c>
      <c r="E4" s="5">
        <v>1.2</v>
      </c>
      <c r="F4" s="5" t="s">
        <v>36</v>
      </c>
      <c r="I4" s="5" t="s">
        <v>38</v>
      </c>
    </row>
    <row r="5" spans="1:9" x14ac:dyDescent="0.25">
      <c r="A5" s="10">
        <v>43325</v>
      </c>
      <c r="B5" s="5" t="s">
        <v>26</v>
      </c>
      <c r="C5" s="5">
        <v>-4</v>
      </c>
      <c r="D5" s="5">
        <f t="shared" ref="D5:D68" si="0">C5/8</f>
        <v>-0.5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43362</v>
      </c>
      <c r="B7" s="5" t="s">
        <v>26</v>
      </c>
      <c r="C7" s="5">
        <v>1</v>
      </c>
      <c r="D7" s="5">
        <f t="shared" si="0"/>
        <v>0.125</v>
      </c>
    </row>
    <row r="8" spans="1:9" x14ac:dyDescent="0.25">
      <c r="A8" s="10">
        <v>43513</v>
      </c>
      <c r="B8" s="5" t="s">
        <v>26</v>
      </c>
      <c r="C8" s="5">
        <v>0.25</v>
      </c>
      <c r="D8" s="5">
        <f t="shared" si="0"/>
        <v>3.125E-2</v>
      </c>
    </row>
    <row r="9" spans="1:9" x14ac:dyDescent="0.25">
      <c r="A9" s="10">
        <v>43564</v>
      </c>
      <c r="B9" s="5" t="s">
        <v>26</v>
      </c>
      <c r="C9" s="5">
        <v>0.5</v>
      </c>
      <c r="D9" s="5">
        <f t="shared" si="0"/>
        <v>6.25E-2</v>
      </c>
    </row>
    <row r="10" spans="1:9" x14ac:dyDescent="0.25">
      <c r="D10" s="5">
        <f t="shared" si="0"/>
        <v>0</v>
      </c>
    </row>
    <row r="11" spans="1:9" x14ac:dyDescent="0.25">
      <c r="D11" s="5">
        <f t="shared" si="0"/>
        <v>0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57</v>
      </c>
      <c r="D4" s="5">
        <f>C4/8</f>
        <v>7.125</v>
      </c>
      <c r="E4" s="5">
        <v>1.3</v>
      </c>
      <c r="F4" s="5" t="s">
        <v>36</v>
      </c>
      <c r="I4" s="5" t="s">
        <v>43</v>
      </c>
    </row>
    <row r="5" spans="1:9" x14ac:dyDescent="0.25">
      <c r="A5" s="10">
        <v>43318</v>
      </c>
      <c r="B5" s="5" t="s">
        <v>26</v>
      </c>
      <c r="C5" s="5">
        <v>-16</v>
      </c>
      <c r="D5" s="5">
        <f t="shared" ref="D5:D68" si="0">C5/8</f>
        <v>-2</v>
      </c>
    </row>
    <row r="6" spans="1:9" x14ac:dyDescent="0.25">
      <c r="A6" s="10">
        <v>43325</v>
      </c>
      <c r="B6" s="5" t="s">
        <v>26</v>
      </c>
      <c r="C6" s="5">
        <v>-6</v>
      </c>
      <c r="D6" s="5">
        <f t="shared" si="0"/>
        <v>-0.75</v>
      </c>
    </row>
    <row r="7" spans="1:9" x14ac:dyDescent="0.25">
      <c r="A7" s="10">
        <v>43332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43362</v>
      </c>
      <c r="B9" s="5" t="s">
        <v>80</v>
      </c>
      <c r="C9" s="5">
        <v>0</v>
      </c>
      <c r="D9" s="5">
        <f t="shared" si="0"/>
        <v>0</v>
      </c>
      <c r="I9" s="5" t="s">
        <v>81</v>
      </c>
    </row>
    <row r="10" spans="1:9" x14ac:dyDescent="0.25">
      <c r="A10" s="10">
        <v>43493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43513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43520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43523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43549</v>
      </c>
      <c r="B14" s="5" t="s">
        <v>88</v>
      </c>
      <c r="C14" s="5">
        <v>0.5</v>
      </c>
      <c r="D14" s="5">
        <f t="shared" si="0"/>
        <v>6.25E-2</v>
      </c>
    </row>
    <row r="15" spans="1:9" x14ac:dyDescent="0.25">
      <c r="A15" s="10">
        <v>43550</v>
      </c>
      <c r="B15" s="5" t="s">
        <v>88</v>
      </c>
      <c r="C15" s="5">
        <v>0.5</v>
      </c>
      <c r="D15" s="5">
        <f t="shared" si="0"/>
        <v>6.25E-2</v>
      </c>
    </row>
    <row r="16" spans="1:9" x14ac:dyDescent="0.25">
      <c r="A16" s="10">
        <v>43551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43558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43570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43572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3" sqref="A13:XFD1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67</v>
      </c>
      <c r="D4" s="5">
        <f>C4/8</f>
        <v>8.375</v>
      </c>
      <c r="E4" s="5">
        <v>1.2</v>
      </c>
      <c r="F4" s="5" t="s">
        <v>36</v>
      </c>
      <c r="I4" s="5" t="s">
        <v>43</v>
      </c>
    </row>
    <row r="5" spans="1:9" x14ac:dyDescent="0.25">
      <c r="A5" s="10">
        <v>43319</v>
      </c>
      <c r="B5" s="5" t="s">
        <v>58</v>
      </c>
      <c r="C5" s="5">
        <v>-20</v>
      </c>
      <c r="D5" s="5">
        <f t="shared" ref="D5:D68" si="0">C5/8</f>
        <v>-2.5</v>
      </c>
    </row>
    <row r="6" spans="1:9" x14ac:dyDescent="0.25">
      <c r="A6" s="10">
        <v>43332</v>
      </c>
      <c r="B6" s="5" t="s">
        <v>26</v>
      </c>
      <c r="C6" s="5">
        <v>-0.5</v>
      </c>
      <c r="D6" s="5">
        <f t="shared" si="0"/>
        <v>-6.25E-2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43362</v>
      </c>
      <c r="B8" s="5" t="s">
        <v>26</v>
      </c>
      <c r="C8" s="5">
        <v>0.25</v>
      </c>
      <c r="D8" s="5">
        <f t="shared" si="0"/>
        <v>3.125E-2</v>
      </c>
    </row>
    <row r="9" spans="1:9" x14ac:dyDescent="0.25">
      <c r="A9" s="10">
        <v>43374</v>
      </c>
      <c r="B9" s="5" t="s">
        <v>80</v>
      </c>
      <c r="C9" s="5">
        <v>0.25</v>
      </c>
      <c r="D9" s="5">
        <f t="shared" si="0"/>
        <v>3.125E-2</v>
      </c>
    </row>
    <row r="10" spans="1:9" x14ac:dyDescent="0.25">
      <c r="A10" s="10">
        <v>43390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43516</v>
      </c>
      <c r="B12" s="5" t="s">
        <v>26</v>
      </c>
      <c r="C12" s="5">
        <v>0.25</v>
      </c>
      <c r="D12" s="5">
        <f t="shared" si="0"/>
        <v>3.125E-2</v>
      </c>
    </row>
    <row r="13" spans="1:9" x14ac:dyDescent="0.25">
      <c r="A13" s="10"/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55</v>
      </c>
      <c r="D4" s="5">
        <f>C4/8</f>
        <v>6.875</v>
      </c>
      <c r="E4" s="5">
        <v>1.6</v>
      </c>
      <c r="F4" s="5" t="s">
        <v>36</v>
      </c>
      <c r="I4" s="5" t="s">
        <v>41</v>
      </c>
    </row>
    <row r="5" spans="1:9" x14ac:dyDescent="0.25">
      <c r="A5" s="10">
        <v>43319</v>
      </c>
      <c r="B5" s="5" t="s">
        <v>58</v>
      </c>
      <c r="C5" s="5">
        <v>-8</v>
      </c>
      <c r="D5" s="5">
        <f t="shared" ref="D5:D68" si="0">C5/8</f>
        <v>-1</v>
      </c>
    </row>
    <row r="6" spans="1:9" x14ac:dyDescent="0.25">
      <c r="A6" s="10">
        <v>43325</v>
      </c>
      <c r="B6" s="5" t="s">
        <v>26</v>
      </c>
      <c r="C6" s="5">
        <v>-4</v>
      </c>
      <c r="D6" s="5">
        <f t="shared" si="0"/>
        <v>-0.5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43362</v>
      </c>
      <c r="B8" s="5" t="s">
        <v>26</v>
      </c>
      <c r="C8" s="5">
        <v>0.25</v>
      </c>
      <c r="D8" s="5">
        <f t="shared" si="0"/>
        <v>3.125E-2</v>
      </c>
    </row>
    <row r="9" spans="1:9" x14ac:dyDescent="0.25">
      <c r="A9" s="10">
        <v>43374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43390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43418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43476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43489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0.5</v>
      </c>
      <c r="D14" s="5">
        <f t="shared" si="0"/>
        <v>6.25E-2</v>
      </c>
    </row>
    <row r="15" spans="1:9" x14ac:dyDescent="0.25">
      <c r="A15" s="10">
        <v>43516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43550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43551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43558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43570</v>
      </c>
      <c r="B23" s="5" t="s">
        <v>88</v>
      </c>
      <c r="C23" s="5">
        <v>0.5</v>
      </c>
      <c r="D23" s="5">
        <f t="shared" si="0"/>
        <v>6.25E-2</v>
      </c>
    </row>
    <row r="24" spans="1:4" x14ac:dyDescent="0.25">
      <c r="A24" s="10">
        <v>43572</v>
      </c>
      <c r="B24" s="5" t="s">
        <v>88</v>
      </c>
      <c r="C24" s="5">
        <v>0.5</v>
      </c>
      <c r="D24" s="5">
        <f t="shared" si="0"/>
        <v>6.25E-2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37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81</v>
      </c>
      <c r="D4" s="5">
        <f>C4/8</f>
        <v>10.125</v>
      </c>
      <c r="E4" s="5">
        <v>1.3</v>
      </c>
      <c r="F4" s="5" t="s">
        <v>36</v>
      </c>
      <c r="I4" s="5" t="s">
        <v>42</v>
      </c>
    </row>
    <row r="5" spans="1:9" x14ac:dyDescent="0.25">
      <c r="A5" s="10">
        <v>43311</v>
      </c>
      <c r="B5" s="5" t="s">
        <v>26</v>
      </c>
      <c r="C5" s="5">
        <v>-8</v>
      </c>
      <c r="D5" s="5">
        <f t="shared" ref="D5:D68" si="0">C5/8</f>
        <v>-1</v>
      </c>
    </row>
    <row r="6" spans="1:9" x14ac:dyDescent="0.25">
      <c r="A6" s="10">
        <v>43319</v>
      </c>
      <c r="B6" s="5" t="s">
        <v>58</v>
      </c>
      <c r="C6" s="5">
        <v>-12</v>
      </c>
      <c r="D6" s="5">
        <f t="shared" si="0"/>
        <v>-1.5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43362</v>
      </c>
      <c r="B8" s="5" t="s">
        <v>26</v>
      </c>
      <c r="C8" s="5">
        <v>1</v>
      </c>
      <c r="D8" s="5">
        <f t="shared" si="0"/>
        <v>0.125</v>
      </c>
    </row>
    <row r="9" spans="1:9" x14ac:dyDescent="0.25">
      <c r="A9" s="10">
        <v>43370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43418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43476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43513</v>
      </c>
      <c r="B12" s="5" t="s">
        <v>26</v>
      </c>
      <c r="C12" s="5">
        <v>0.5</v>
      </c>
      <c r="D12" s="5">
        <f t="shared" si="0"/>
        <v>6.25E-2</v>
      </c>
    </row>
    <row r="13" spans="1:9" x14ac:dyDescent="0.25">
      <c r="A13" s="10">
        <v>43516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43550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43551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43552</v>
      </c>
      <c r="B19" s="5" t="s">
        <v>88</v>
      </c>
      <c r="C19" s="5">
        <v>2</v>
      </c>
      <c r="D19" s="5">
        <f t="shared" si="0"/>
        <v>0.25</v>
      </c>
    </row>
    <row r="20" spans="1:4" x14ac:dyDescent="0.25">
      <c r="A20" s="10">
        <v>43558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43570</v>
      </c>
      <c r="B23" s="5" t="s">
        <v>88</v>
      </c>
      <c r="C23" s="5">
        <v>0.5</v>
      </c>
      <c r="D23" s="5">
        <f t="shared" si="0"/>
        <v>6.25E-2</v>
      </c>
    </row>
    <row r="24" spans="1:4" x14ac:dyDescent="0.25">
      <c r="A24" s="10">
        <v>43572</v>
      </c>
      <c r="B24" s="5" t="s">
        <v>88</v>
      </c>
      <c r="C24" s="5">
        <v>0.5</v>
      </c>
      <c r="D24" s="5">
        <f t="shared" si="0"/>
        <v>6.25E-2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8" sqref="A8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38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0</v>
      </c>
      <c r="D4" s="5">
        <f>C4/8</f>
        <v>0</v>
      </c>
      <c r="I4" s="5" t="s">
        <v>11</v>
      </c>
    </row>
    <row r="5" spans="1:9" x14ac:dyDescent="0.25">
      <c r="A5" s="10">
        <v>43319</v>
      </c>
      <c r="B5" s="5" t="s">
        <v>58</v>
      </c>
      <c r="C5" s="5">
        <v>0.5</v>
      </c>
      <c r="D5" s="5">
        <f t="shared" ref="D5:D68" si="0">C5/8</f>
        <v>6.25E-2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43418</v>
      </c>
      <c r="B7" s="5" t="s">
        <v>80</v>
      </c>
      <c r="C7" s="5">
        <v>0.5</v>
      </c>
      <c r="D7" s="5">
        <f t="shared" si="0"/>
        <v>6.25E-2</v>
      </c>
    </row>
    <row r="8" spans="1:9" x14ac:dyDescent="0.25">
      <c r="A8" s="10"/>
      <c r="D8" s="5">
        <f t="shared" si="0"/>
        <v>0</v>
      </c>
    </row>
    <row r="9" spans="1:9" x14ac:dyDescent="0.25">
      <c r="D9" s="5">
        <f t="shared" si="0"/>
        <v>0</v>
      </c>
    </row>
    <row r="10" spans="1:9" x14ac:dyDescent="0.25">
      <c r="D10" s="5">
        <f t="shared" si="0"/>
        <v>0</v>
      </c>
    </row>
    <row r="11" spans="1:9" x14ac:dyDescent="0.25">
      <c r="D11" s="5">
        <f t="shared" si="0"/>
        <v>0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1"/>
  <sheetViews>
    <sheetView workbookViewId="0">
      <selection activeCell="A19" sqref="A19:XFD19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39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43253</v>
      </c>
      <c r="B4" s="5" t="s">
        <v>26</v>
      </c>
      <c r="C4" s="5">
        <v>55</v>
      </c>
      <c r="D4" s="5">
        <f t="shared" ref="D4:D69" si="0">C4/8</f>
        <v>6.875</v>
      </c>
      <c r="I4" s="5" t="s">
        <v>31</v>
      </c>
    </row>
    <row r="5" spans="1:9" x14ac:dyDescent="0.25">
      <c r="A5" s="10">
        <v>43319</v>
      </c>
      <c r="B5" s="5" t="s">
        <v>58</v>
      </c>
      <c r="C5" s="5">
        <v>-1</v>
      </c>
      <c r="D5" s="5">
        <f t="shared" si="0"/>
        <v>-0.125</v>
      </c>
    </row>
    <row r="6" spans="1:9" x14ac:dyDescent="0.25">
      <c r="A6" s="10">
        <v>43332</v>
      </c>
      <c r="B6" s="5" t="s">
        <v>26</v>
      </c>
      <c r="C6" s="5">
        <v>8</v>
      </c>
      <c r="D6" s="5">
        <f t="shared" si="0"/>
        <v>1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43371</v>
      </c>
      <c r="B8" s="5" t="s">
        <v>80</v>
      </c>
      <c r="C8" s="5">
        <v>0.5</v>
      </c>
      <c r="D8" s="5">
        <f t="shared" si="0"/>
        <v>6.25E-2</v>
      </c>
    </row>
    <row r="9" spans="1:9" x14ac:dyDescent="0.25">
      <c r="A9" s="10">
        <v>43418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43476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43513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43520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43523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43536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43549</v>
      </c>
      <c r="B15" s="5" t="s">
        <v>88</v>
      </c>
      <c r="C15" s="5">
        <v>0.5</v>
      </c>
      <c r="D15" s="5">
        <f t="shared" si="0"/>
        <v>6.25E-2</v>
      </c>
    </row>
    <row r="16" spans="1:9" x14ac:dyDescent="0.25">
      <c r="A16" s="10">
        <v>43558</v>
      </c>
      <c r="B16" s="5" t="s">
        <v>88</v>
      </c>
      <c r="C16" s="5">
        <v>0.5</v>
      </c>
      <c r="D16" s="5">
        <f>C16/8</f>
        <v>6.25E-2</v>
      </c>
    </row>
    <row r="17" spans="1:4" x14ac:dyDescent="0.25">
      <c r="A17" s="10">
        <v>43564</v>
      </c>
      <c r="B17" s="5" t="s">
        <v>26</v>
      </c>
      <c r="C17" s="5">
        <v>0.5</v>
      </c>
      <c r="D17" s="5">
        <f t="shared" ref="D17:D19" si="1">C17/8</f>
        <v>6.25E-2</v>
      </c>
    </row>
    <row r="18" spans="1:4" x14ac:dyDescent="0.25">
      <c r="A18" s="10">
        <v>43566</v>
      </c>
      <c r="B18" s="5" t="s">
        <v>26</v>
      </c>
      <c r="C18" s="5">
        <v>0.25</v>
      </c>
      <c r="D18" s="5">
        <f t="shared" si="1"/>
        <v>3.125E-2</v>
      </c>
    </row>
    <row r="19" spans="1:4" x14ac:dyDescent="0.25">
      <c r="A19" s="10">
        <v>43570</v>
      </c>
      <c r="B19" s="5" t="s">
        <v>88</v>
      </c>
      <c r="C19" s="5">
        <v>0.25</v>
      </c>
      <c r="D19" s="5">
        <f t="shared" si="1"/>
        <v>3.125E-2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si="0"/>
        <v>0</v>
      </c>
    </row>
    <row r="70" spans="4:4" x14ac:dyDescent="0.25">
      <c r="D70" s="5">
        <f t="shared" ref="D70:D81" si="2">C70/8</f>
        <v>0</v>
      </c>
    </row>
    <row r="71" spans="4:4" x14ac:dyDescent="0.25">
      <c r="D71" s="5">
        <f t="shared" si="2"/>
        <v>0</v>
      </c>
    </row>
    <row r="72" spans="4:4" x14ac:dyDescent="0.25">
      <c r="D72" s="5">
        <f t="shared" si="2"/>
        <v>0</v>
      </c>
    </row>
    <row r="73" spans="4:4" x14ac:dyDescent="0.25">
      <c r="D73" s="5">
        <f t="shared" si="2"/>
        <v>0</v>
      </c>
    </row>
    <row r="74" spans="4:4" x14ac:dyDescent="0.25">
      <c r="D74" s="5">
        <f t="shared" si="2"/>
        <v>0</v>
      </c>
    </row>
    <row r="75" spans="4:4" x14ac:dyDescent="0.25">
      <c r="D75" s="5">
        <f t="shared" si="2"/>
        <v>0</v>
      </c>
    </row>
    <row r="76" spans="4:4" x14ac:dyDescent="0.25">
      <c r="D76" s="5">
        <f t="shared" si="2"/>
        <v>0</v>
      </c>
    </row>
    <row r="77" spans="4:4" x14ac:dyDescent="0.25">
      <c r="D77" s="5">
        <f t="shared" si="2"/>
        <v>0</v>
      </c>
    </row>
    <row r="78" spans="4:4" x14ac:dyDescent="0.25">
      <c r="D78" s="5">
        <f t="shared" si="2"/>
        <v>0</v>
      </c>
    </row>
    <row r="79" spans="4:4" x14ac:dyDescent="0.25">
      <c r="D79" s="5">
        <f t="shared" si="2"/>
        <v>0</v>
      </c>
    </row>
    <row r="80" spans="4:4" x14ac:dyDescent="0.25">
      <c r="D80" s="5">
        <f t="shared" si="2"/>
        <v>0</v>
      </c>
    </row>
    <row r="81" spans="4:4" x14ac:dyDescent="0.25">
      <c r="D81" s="5">
        <f t="shared" si="2"/>
        <v>0</v>
      </c>
    </row>
  </sheetData>
  <mergeCells count="1">
    <mergeCell ref="A1:B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7" sqref="A27:XFD27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40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43253</v>
      </c>
      <c r="B4" s="5" t="s">
        <v>26</v>
      </c>
      <c r="C4" s="5">
        <v>81</v>
      </c>
      <c r="D4" s="5">
        <f t="shared" ref="D4:D67" si="0">C4/8</f>
        <v>10.125</v>
      </c>
      <c r="I4" s="5" t="s">
        <v>33</v>
      </c>
    </row>
    <row r="5" spans="1:9" x14ac:dyDescent="0.25">
      <c r="A5" s="10">
        <v>43311</v>
      </c>
      <c r="B5" s="5" t="s">
        <v>26</v>
      </c>
      <c r="C5" s="5">
        <v>-16</v>
      </c>
      <c r="D5" s="5">
        <f t="shared" si="0"/>
        <v>-2</v>
      </c>
    </row>
    <row r="6" spans="1:9" x14ac:dyDescent="0.25">
      <c r="A6" s="10">
        <v>43319</v>
      </c>
      <c r="B6" s="5" t="s">
        <v>58</v>
      </c>
      <c r="C6" s="5">
        <v>-8</v>
      </c>
      <c r="D6" s="5">
        <f t="shared" si="0"/>
        <v>-1</v>
      </c>
    </row>
    <row r="7" spans="1:9" x14ac:dyDescent="0.25">
      <c r="A7" s="10">
        <v>43326</v>
      </c>
      <c r="B7" s="5" t="s">
        <v>58</v>
      </c>
      <c r="C7" s="5">
        <v>-1</v>
      </c>
      <c r="D7" s="5">
        <f t="shared" si="0"/>
        <v>-0.125</v>
      </c>
    </row>
    <row r="8" spans="1:9" x14ac:dyDescent="0.25">
      <c r="A8" s="10">
        <v>43332</v>
      </c>
      <c r="B8" s="5" t="s">
        <v>26</v>
      </c>
      <c r="C8" s="5">
        <v>0.5</v>
      </c>
      <c r="D8" s="5">
        <f t="shared" si="0"/>
        <v>6.25E-2</v>
      </c>
    </row>
    <row r="9" spans="1:9" x14ac:dyDescent="0.25">
      <c r="A9" s="10">
        <v>43332</v>
      </c>
      <c r="B9" s="5" t="s">
        <v>79</v>
      </c>
      <c r="C9" s="5">
        <v>-15.2</v>
      </c>
      <c r="D9" s="5">
        <f t="shared" si="0"/>
        <v>-1.9</v>
      </c>
    </row>
    <row r="10" spans="1:9" x14ac:dyDescent="0.25">
      <c r="A10" s="10">
        <v>43363</v>
      </c>
      <c r="B10" s="5" t="s">
        <v>26</v>
      </c>
      <c r="C10" s="5">
        <v>4</v>
      </c>
      <c r="D10" s="5">
        <f t="shared" si="0"/>
        <v>0.5</v>
      </c>
    </row>
    <row r="11" spans="1:9" x14ac:dyDescent="0.25">
      <c r="A11" s="10">
        <v>43371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43375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43391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43418</v>
      </c>
      <c r="B14" s="5" t="s">
        <v>80</v>
      </c>
      <c r="C14" s="5">
        <v>0.5</v>
      </c>
      <c r="D14" s="5">
        <f t="shared" si="0"/>
        <v>6.25E-2</v>
      </c>
    </row>
    <row r="15" spans="1:9" x14ac:dyDescent="0.25">
      <c r="A15" s="10">
        <v>43475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43513</v>
      </c>
      <c r="B16" s="5" t="s">
        <v>26</v>
      </c>
      <c r="C16" s="5">
        <v>0.5</v>
      </c>
      <c r="D16" s="5">
        <f t="shared" si="0"/>
        <v>6.25E-2</v>
      </c>
    </row>
    <row r="17" spans="1:4" x14ac:dyDescent="0.25">
      <c r="A17" s="10">
        <v>43520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43536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43549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43550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43551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A22" s="10">
        <v>43552</v>
      </c>
      <c r="B22" s="5" t="s">
        <v>88</v>
      </c>
      <c r="C22" s="5">
        <v>16</v>
      </c>
      <c r="D22" s="5">
        <f t="shared" si="0"/>
        <v>2</v>
      </c>
    </row>
    <row r="23" spans="1:4" x14ac:dyDescent="0.25">
      <c r="A23" s="10">
        <v>43558</v>
      </c>
      <c r="B23" s="5" t="s">
        <v>88</v>
      </c>
      <c r="C23" s="5">
        <v>0.5</v>
      </c>
      <c r="D23" s="5">
        <f t="shared" si="0"/>
        <v>6.25E-2</v>
      </c>
    </row>
    <row r="24" spans="1:4" x14ac:dyDescent="0.25">
      <c r="A24" s="10">
        <v>43564</v>
      </c>
      <c r="B24" s="5" t="s">
        <v>26</v>
      </c>
      <c r="C24" s="5">
        <v>0.25</v>
      </c>
      <c r="D24" s="5">
        <f t="shared" si="0"/>
        <v>3.125E-2</v>
      </c>
    </row>
    <row r="25" spans="1:4" x14ac:dyDescent="0.25">
      <c r="A25" s="10">
        <v>43566</v>
      </c>
      <c r="B25" s="5" t="s">
        <v>26</v>
      </c>
      <c r="C25" s="5">
        <v>0.25</v>
      </c>
      <c r="D25" s="5">
        <f t="shared" si="0"/>
        <v>3.125E-2</v>
      </c>
    </row>
    <row r="26" spans="1:4" x14ac:dyDescent="0.25">
      <c r="A26" s="10">
        <v>43570</v>
      </c>
      <c r="B26" s="5" t="s">
        <v>88</v>
      </c>
      <c r="C26" s="5">
        <v>0.5</v>
      </c>
      <c r="D26" s="5">
        <f t="shared" si="0"/>
        <v>6.25E-2</v>
      </c>
    </row>
    <row r="27" spans="1:4" x14ac:dyDescent="0.25">
      <c r="A27" s="10">
        <v>43572</v>
      </c>
      <c r="B27" s="5" t="s">
        <v>88</v>
      </c>
      <c r="C27" s="5">
        <v>0.5</v>
      </c>
      <c r="D27" s="5">
        <f t="shared" si="0"/>
        <v>6.25E-2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6" sqref="A16:XFD16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43319</v>
      </c>
      <c r="B4" s="5" t="s">
        <v>58</v>
      </c>
      <c r="C4" s="5">
        <v>0.5</v>
      </c>
      <c r="D4" s="5">
        <f>C4/8</f>
        <v>6.25E-2</v>
      </c>
    </row>
    <row r="5" spans="1:9" x14ac:dyDescent="0.25">
      <c r="A5" s="10">
        <v>43332</v>
      </c>
      <c r="B5" s="5" t="s">
        <v>79</v>
      </c>
      <c r="C5" s="5">
        <v>-15.2</v>
      </c>
      <c r="D5" s="5">
        <f t="shared" ref="D5:D68" si="0">C5/8</f>
        <v>-1.9</v>
      </c>
    </row>
    <row r="6" spans="1:9" x14ac:dyDescent="0.25">
      <c r="A6" s="10">
        <v>43391</v>
      </c>
      <c r="B6" s="5" t="s">
        <v>80</v>
      </c>
      <c r="C6" s="5">
        <v>0.5</v>
      </c>
      <c r="D6" s="5">
        <f t="shared" si="0"/>
        <v>6.25E-2</v>
      </c>
    </row>
    <row r="7" spans="1:9" x14ac:dyDescent="0.25">
      <c r="A7" s="10">
        <v>43418</v>
      </c>
      <c r="B7" s="5" t="s">
        <v>80</v>
      </c>
      <c r="C7" s="5">
        <v>0.5</v>
      </c>
      <c r="D7" s="5">
        <f t="shared" si="0"/>
        <v>6.25E-2</v>
      </c>
    </row>
    <row r="8" spans="1:9" x14ac:dyDescent="0.25">
      <c r="A8" s="10">
        <v>43536</v>
      </c>
      <c r="B8" s="5" t="s">
        <v>88</v>
      </c>
      <c r="C8" s="5">
        <v>0.25</v>
      </c>
      <c r="D8" s="5">
        <f t="shared" si="0"/>
        <v>3.125E-2</v>
      </c>
    </row>
    <row r="9" spans="1:9" x14ac:dyDescent="0.25">
      <c r="A9" s="10">
        <v>43549</v>
      </c>
      <c r="B9" s="5" t="s">
        <v>88</v>
      </c>
      <c r="C9" s="5">
        <v>0.5</v>
      </c>
      <c r="D9" s="5">
        <f t="shared" si="0"/>
        <v>6.25E-2</v>
      </c>
    </row>
    <row r="10" spans="1:9" x14ac:dyDescent="0.25">
      <c r="A10" s="10">
        <v>43550</v>
      </c>
      <c r="B10" s="5" t="s">
        <v>88</v>
      </c>
      <c r="C10" s="5">
        <v>0.5</v>
      </c>
      <c r="D10" s="5">
        <f t="shared" si="0"/>
        <v>6.25E-2</v>
      </c>
    </row>
    <row r="11" spans="1:9" x14ac:dyDescent="0.25">
      <c r="A11" s="10">
        <v>43551</v>
      </c>
      <c r="B11" s="5" t="s">
        <v>88</v>
      </c>
      <c r="C11" s="5">
        <v>0.5</v>
      </c>
      <c r="D11" s="5">
        <f t="shared" si="0"/>
        <v>6.25E-2</v>
      </c>
    </row>
    <row r="12" spans="1:9" x14ac:dyDescent="0.25">
      <c r="A12" s="10">
        <v>43558</v>
      </c>
      <c r="B12" s="5" t="s">
        <v>88</v>
      </c>
      <c r="C12" s="5">
        <v>0.5</v>
      </c>
      <c r="D12" s="5">
        <f t="shared" si="0"/>
        <v>6.25E-2</v>
      </c>
    </row>
    <row r="13" spans="1:9" x14ac:dyDescent="0.25">
      <c r="A13" s="10">
        <v>43564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43566</v>
      </c>
      <c r="B14" s="5" t="s">
        <v>26</v>
      </c>
      <c r="C14" s="5">
        <v>0.5</v>
      </c>
      <c r="D14" s="5">
        <f t="shared" si="0"/>
        <v>6.25E-2</v>
      </c>
    </row>
    <row r="15" spans="1:9" x14ac:dyDescent="0.25">
      <c r="A15" s="10">
        <v>43570</v>
      </c>
      <c r="B15" s="5" t="s">
        <v>88</v>
      </c>
      <c r="C15" s="5">
        <v>0.5</v>
      </c>
      <c r="D15" s="5">
        <f t="shared" si="0"/>
        <v>6.25E-2</v>
      </c>
    </row>
    <row r="16" spans="1:9" x14ac:dyDescent="0.25">
      <c r="A16" s="10">
        <v>43572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2" sqref="A22:XFD2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60</v>
      </c>
      <c r="D4" s="5">
        <f>C4/8</f>
        <v>7.5</v>
      </c>
      <c r="E4" s="5">
        <v>1.2</v>
      </c>
      <c r="F4" s="5" t="s">
        <v>36</v>
      </c>
      <c r="I4" s="5" t="s">
        <v>43</v>
      </c>
    </row>
    <row r="5" spans="1:9" x14ac:dyDescent="0.25">
      <c r="A5" s="10">
        <v>43326</v>
      </c>
      <c r="B5" s="5" t="s">
        <v>58</v>
      </c>
      <c r="C5" s="5">
        <v>-18</v>
      </c>
      <c r="D5" s="5">
        <f t="shared" ref="D5:D68" si="0">C5/8</f>
        <v>-2.25</v>
      </c>
    </row>
    <row r="6" spans="1:9" x14ac:dyDescent="0.25">
      <c r="A6" s="10">
        <v>43332</v>
      </c>
      <c r="B6" s="5" t="s">
        <v>26</v>
      </c>
      <c r="C6" s="5">
        <v>0.5</v>
      </c>
      <c r="D6" s="5">
        <f t="shared" si="0"/>
        <v>6.25E-2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43363</v>
      </c>
      <c r="B8" s="5" t="s">
        <v>26</v>
      </c>
      <c r="C8" s="5">
        <v>2</v>
      </c>
      <c r="D8" s="5">
        <f t="shared" si="0"/>
        <v>0.25</v>
      </c>
    </row>
    <row r="9" spans="1:9" x14ac:dyDescent="0.25">
      <c r="A9" s="10">
        <v>43370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43391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43513</v>
      </c>
      <c r="B12" s="5" t="s">
        <v>26</v>
      </c>
      <c r="C12" s="5">
        <v>24</v>
      </c>
      <c r="D12" s="5">
        <f t="shared" si="0"/>
        <v>3</v>
      </c>
    </row>
    <row r="13" spans="1:9" x14ac:dyDescent="0.25">
      <c r="A13" s="10">
        <v>43520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43536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43549</v>
      </c>
      <c r="B15" s="5" t="s">
        <v>88</v>
      </c>
      <c r="C15" s="5">
        <v>0.5</v>
      </c>
      <c r="D15" s="5">
        <f t="shared" si="0"/>
        <v>6.25E-2</v>
      </c>
    </row>
    <row r="16" spans="1:9" x14ac:dyDescent="0.25">
      <c r="A16" s="10">
        <v>43550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43551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43558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43566</v>
      </c>
      <c r="B20" s="5" t="s">
        <v>26</v>
      </c>
      <c r="C20" s="5">
        <v>0.5</v>
      </c>
      <c r="D20" s="5">
        <f t="shared" si="0"/>
        <v>6.25E-2</v>
      </c>
    </row>
    <row r="21" spans="1:4" x14ac:dyDescent="0.25">
      <c r="A21" s="10">
        <v>43570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43572</v>
      </c>
      <c r="B22" s="5" t="s">
        <v>88</v>
      </c>
      <c r="C22" s="5">
        <v>0.5</v>
      </c>
      <c r="D22" s="5">
        <f t="shared" si="0"/>
        <v>6.25E-2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9" sqref="A9:XFD9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43320</v>
      </c>
      <c r="B4" s="5" t="s">
        <v>58</v>
      </c>
      <c r="C4" s="5">
        <v>-12</v>
      </c>
      <c r="D4" s="5">
        <f>C4/8</f>
        <v>-1.5</v>
      </c>
      <c r="I4" s="5">
        <v>1</v>
      </c>
    </row>
    <row r="5" spans="1:9" x14ac:dyDescent="0.25">
      <c r="A5" s="10">
        <v>43326</v>
      </c>
      <c r="B5" s="5" t="s">
        <v>58</v>
      </c>
      <c r="C5" s="5">
        <v>1</v>
      </c>
      <c r="D5" s="5">
        <f>C5/8</f>
        <v>0.125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>C6/8</f>
        <v>-1.9</v>
      </c>
      <c r="I6" s="5" t="s">
        <v>85</v>
      </c>
    </row>
    <row r="7" spans="1:9" x14ac:dyDescent="0.25">
      <c r="A7" s="10">
        <v>43392</v>
      </c>
      <c r="B7" s="5" t="s">
        <v>80</v>
      </c>
      <c r="C7" s="5">
        <v>0.5</v>
      </c>
      <c r="D7" s="5">
        <f>C7/8</f>
        <v>6.25E-2</v>
      </c>
    </row>
    <row r="8" spans="1:9" x14ac:dyDescent="0.25">
      <c r="A8" s="10">
        <v>43418</v>
      </c>
      <c r="B8" s="5" t="s">
        <v>80</v>
      </c>
      <c r="C8" s="5">
        <v>0.5</v>
      </c>
      <c r="D8" s="5">
        <f>C8/8</f>
        <v>6.25E-2</v>
      </c>
    </row>
    <row r="9" spans="1:9" x14ac:dyDescent="0.25">
      <c r="A9" s="10"/>
    </row>
    <row r="10" spans="1:9" x14ac:dyDescent="0.25">
      <c r="D10" s="5">
        <f t="shared" ref="D10:D41" si="0">C10/8</f>
        <v>0</v>
      </c>
    </row>
    <row r="11" spans="1:9" x14ac:dyDescent="0.25">
      <c r="D11" s="5">
        <f t="shared" si="0"/>
        <v>0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ref="D42:D68" si="1">C42/8</f>
        <v>0</v>
      </c>
    </row>
    <row r="43" spans="4:4" x14ac:dyDescent="0.25">
      <c r="D43" s="5">
        <f t="shared" si="1"/>
        <v>0</v>
      </c>
    </row>
    <row r="44" spans="4:4" x14ac:dyDescent="0.25">
      <c r="D44" s="5">
        <f t="shared" si="1"/>
        <v>0</v>
      </c>
    </row>
    <row r="45" spans="4:4" x14ac:dyDescent="0.25">
      <c r="D45" s="5">
        <f t="shared" si="1"/>
        <v>0</v>
      </c>
    </row>
    <row r="46" spans="4:4" x14ac:dyDescent="0.25">
      <c r="D46" s="5">
        <f t="shared" si="1"/>
        <v>0</v>
      </c>
    </row>
    <row r="47" spans="4:4" x14ac:dyDescent="0.25">
      <c r="D47" s="5">
        <f t="shared" si="1"/>
        <v>0</v>
      </c>
    </row>
    <row r="48" spans="4:4" x14ac:dyDescent="0.25">
      <c r="D48" s="5">
        <f t="shared" si="1"/>
        <v>0</v>
      </c>
    </row>
    <row r="49" spans="4:4" x14ac:dyDescent="0.25">
      <c r="D49" s="5">
        <f t="shared" si="1"/>
        <v>0</v>
      </c>
    </row>
    <row r="50" spans="4:4" x14ac:dyDescent="0.25">
      <c r="D50" s="5">
        <f t="shared" si="1"/>
        <v>0</v>
      </c>
    </row>
    <row r="51" spans="4:4" x14ac:dyDescent="0.25">
      <c r="D51" s="5">
        <f t="shared" si="1"/>
        <v>0</v>
      </c>
    </row>
    <row r="52" spans="4:4" x14ac:dyDescent="0.25">
      <c r="D52" s="5">
        <f t="shared" si="1"/>
        <v>0</v>
      </c>
    </row>
    <row r="53" spans="4:4" x14ac:dyDescent="0.25">
      <c r="D53" s="5">
        <f t="shared" si="1"/>
        <v>0</v>
      </c>
    </row>
    <row r="54" spans="4:4" x14ac:dyDescent="0.25">
      <c r="D54" s="5">
        <f t="shared" si="1"/>
        <v>0</v>
      </c>
    </row>
    <row r="55" spans="4:4" x14ac:dyDescent="0.25">
      <c r="D55" s="5">
        <f t="shared" si="1"/>
        <v>0</v>
      </c>
    </row>
    <row r="56" spans="4:4" x14ac:dyDescent="0.25">
      <c r="D56" s="5">
        <f t="shared" si="1"/>
        <v>0</v>
      </c>
    </row>
    <row r="57" spans="4:4" x14ac:dyDescent="0.25">
      <c r="D57" s="5">
        <f t="shared" si="1"/>
        <v>0</v>
      </c>
    </row>
    <row r="58" spans="4:4" x14ac:dyDescent="0.25">
      <c r="D58" s="5">
        <f t="shared" si="1"/>
        <v>0</v>
      </c>
    </row>
    <row r="59" spans="4:4" x14ac:dyDescent="0.25">
      <c r="D59" s="5">
        <f t="shared" si="1"/>
        <v>0</v>
      </c>
    </row>
    <row r="60" spans="4:4" x14ac:dyDescent="0.25">
      <c r="D60" s="5">
        <f t="shared" si="1"/>
        <v>0</v>
      </c>
    </row>
    <row r="61" spans="4:4" x14ac:dyDescent="0.25">
      <c r="D61" s="5">
        <f t="shared" si="1"/>
        <v>0</v>
      </c>
    </row>
    <row r="62" spans="4:4" x14ac:dyDescent="0.25">
      <c r="D62" s="5">
        <f t="shared" si="1"/>
        <v>0</v>
      </c>
    </row>
    <row r="63" spans="4:4" x14ac:dyDescent="0.25">
      <c r="D63" s="5">
        <f t="shared" si="1"/>
        <v>0</v>
      </c>
    </row>
    <row r="64" spans="4:4" x14ac:dyDescent="0.25">
      <c r="D64" s="5">
        <f t="shared" si="1"/>
        <v>0</v>
      </c>
    </row>
    <row r="65" spans="4:4" x14ac:dyDescent="0.25">
      <c r="D65" s="5">
        <f t="shared" si="1"/>
        <v>0</v>
      </c>
    </row>
    <row r="66" spans="4:4" x14ac:dyDescent="0.25">
      <c r="D66" s="5">
        <f t="shared" si="1"/>
        <v>0</v>
      </c>
    </row>
    <row r="67" spans="4:4" x14ac:dyDescent="0.25">
      <c r="D67" s="5">
        <f t="shared" si="1"/>
        <v>0</v>
      </c>
    </row>
    <row r="68" spans="4:4" x14ac:dyDescent="0.25">
      <c r="D68" s="5">
        <f t="shared" si="1"/>
        <v>0</v>
      </c>
    </row>
    <row r="69" spans="4:4" x14ac:dyDescent="0.25">
      <c r="D69" s="5">
        <f t="shared" ref="D69:D80" si="2">C69/8</f>
        <v>0</v>
      </c>
    </row>
    <row r="70" spans="4:4" x14ac:dyDescent="0.25">
      <c r="D70" s="5">
        <f t="shared" si="2"/>
        <v>0</v>
      </c>
    </row>
    <row r="71" spans="4:4" x14ac:dyDescent="0.25">
      <c r="D71" s="5">
        <f t="shared" si="2"/>
        <v>0</v>
      </c>
    </row>
    <row r="72" spans="4:4" x14ac:dyDescent="0.25">
      <c r="D72" s="5">
        <f t="shared" si="2"/>
        <v>0</v>
      </c>
    </row>
    <row r="73" spans="4:4" x14ac:dyDescent="0.25">
      <c r="D73" s="5">
        <f t="shared" si="2"/>
        <v>0</v>
      </c>
    </row>
    <row r="74" spans="4:4" x14ac:dyDescent="0.25">
      <c r="D74" s="5">
        <f t="shared" si="2"/>
        <v>0</v>
      </c>
    </row>
    <row r="75" spans="4:4" x14ac:dyDescent="0.25">
      <c r="D75" s="5">
        <f t="shared" si="2"/>
        <v>0</v>
      </c>
    </row>
    <row r="76" spans="4:4" x14ac:dyDescent="0.25">
      <c r="D76" s="5">
        <f t="shared" si="2"/>
        <v>0</v>
      </c>
    </row>
    <row r="77" spans="4:4" x14ac:dyDescent="0.25">
      <c r="D77" s="5">
        <f t="shared" si="2"/>
        <v>0</v>
      </c>
    </row>
    <row r="78" spans="4:4" x14ac:dyDescent="0.25">
      <c r="D78" s="5">
        <f t="shared" si="2"/>
        <v>0</v>
      </c>
    </row>
    <row r="79" spans="4:4" x14ac:dyDescent="0.25">
      <c r="D79" s="5">
        <f t="shared" si="2"/>
        <v>0</v>
      </c>
    </row>
    <row r="80" spans="4:4" x14ac:dyDescent="0.25">
      <c r="D80" s="5">
        <f t="shared" si="2"/>
        <v>0</v>
      </c>
    </row>
  </sheetData>
  <mergeCells count="1">
    <mergeCell ref="A1:B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68</v>
      </c>
      <c r="D4" s="5">
        <f>C4/8</f>
        <v>8.5</v>
      </c>
      <c r="E4" s="5">
        <v>0.8</v>
      </c>
      <c r="F4" s="5" t="s">
        <v>44</v>
      </c>
      <c r="I4" s="5" t="s">
        <v>47</v>
      </c>
    </row>
    <row r="5" spans="1:9" x14ac:dyDescent="0.25">
      <c r="A5" s="10">
        <v>43320</v>
      </c>
      <c r="B5" s="5" t="s">
        <v>58</v>
      </c>
      <c r="C5" s="5">
        <v>-16</v>
      </c>
      <c r="D5" s="5">
        <f t="shared" ref="D5:D68" si="0">C5/8</f>
        <v>-2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43363</v>
      </c>
      <c r="B7" s="5" t="s">
        <v>26</v>
      </c>
      <c r="C7" s="5">
        <v>4</v>
      </c>
      <c r="D7" s="5">
        <f t="shared" si="0"/>
        <v>0.5</v>
      </c>
      <c r="I7" s="5" t="s">
        <v>83</v>
      </c>
    </row>
    <row r="8" spans="1:9" x14ac:dyDescent="0.25">
      <c r="A8" s="10">
        <v>43371</v>
      </c>
      <c r="B8" s="5" t="s">
        <v>80</v>
      </c>
      <c r="C8" s="5">
        <v>0.5</v>
      </c>
      <c r="D8" s="5">
        <f t="shared" si="0"/>
        <v>6.25E-2</v>
      </c>
    </row>
    <row r="9" spans="1:9" x14ac:dyDescent="0.25">
      <c r="A9" s="10">
        <v>43392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43418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43475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43495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43513</v>
      </c>
      <c r="B13" s="5" t="s">
        <v>26</v>
      </c>
      <c r="C13" s="5">
        <v>0.5</v>
      </c>
      <c r="D13" s="5">
        <f t="shared" si="0"/>
        <v>6.25E-2</v>
      </c>
    </row>
    <row r="14" spans="1:9" x14ac:dyDescent="0.25">
      <c r="A14" s="10">
        <v>43536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43549</v>
      </c>
      <c r="B15" s="5" t="s">
        <v>88</v>
      </c>
      <c r="C15" s="5">
        <v>0.5</v>
      </c>
      <c r="D15" s="5">
        <f t="shared" si="0"/>
        <v>6.25E-2</v>
      </c>
    </row>
    <row r="16" spans="1:9" x14ac:dyDescent="0.25">
      <c r="A16" s="10">
        <v>43550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43551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43552</v>
      </c>
      <c r="B18" s="5" t="s">
        <v>88</v>
      </c>
      <c r="C18" s="5">
        <v>8</v>
      </c>
      <c r="D18" s="5">
        <f t="shared" si="0"/>
        <v>1</v>
      </c>
    </row>
    <row r="19" spans="1:4" x14ac:dyDescent="0.25">
      <c r="A19" s="10">
        <v>43558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43570</v>
      </c>
      <c r="B22" s="5" t="s">
        <v>88</v>
      </c>
      <c r="C22" s="5">
        <v>0.5</v>
      </c>
      <c r="D22" s="5">
        <f t="shared" si="0"/>
        <v>6.25E-2</v>
      </c>
    </row>
    <row r="23" spans="1:4" x14ac:dyDescent="0.25">
      <c r="A23" s="10">
        <v>43572</v>
      </c>
      <c r="B23" s="5" t="s">
        <v>88</v>
      </c>
      <c r="C23" s="5">
        <v>0.5</v>
      </c>
      <c r="D23" s="5">
        <f t="shared" si="0"/>
        <v>6.25E-2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73</v>
      </c>
      <c r="D4" s="5">
        <f>C4/8</f>
        <v>9.125</v>
      </c>
      <c r="E4" s="5">
        <v>1.2</v>
      </c>
      <c r="F4" s="5" t="s">
        <v>36</v>
      </c>
      <c r="I4" s="5" t="s">
        <v>43</v>
      </c>
    </row>
    <row r="5" spans="1:9" x14ac:dyDescent="0.25">
      <c r="A5" s="10">
        <v>43320</v>
      </c>
      <c r="B5" s="5" t="s">
        <v>58</v>
      </c>
      <c r="C5" s="5">
        <v>-32</v>
      </c>
      <c r="D5" s="5">
        <f t="shared" ref="D5:D68" si="0">C5/8</f>
        <v>-4</v>
      </c>
    </row>
    <row r="6" spans="1:9" x14ac:dyDescent="0.25">
      <c r="A6" s="10">
        <v>43326</v>
      </c>
      <c r="B6" s="5" t="s">
        <v>58</v>
      </c>
      <c r="C6" s="5">
        <v>0.25</v>
      </c>
      <c r="D6" s="5">
        <f t="shared" si="0"/>
        <v>3.125E-2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43363</v>
      </c>
      <c r="B8" s="5" t="s">
        <v>26</v>
      </c>
      <c r="C8" s="5">
        <v>2</v>
      </c>
      <c r="D8" s="5">
        <f t="shared" si="0"/>
        <v>0.25</v>
      </c>
    </row>
    <row r="9" spans="1:9" x14ac:dyDescent="0.25">
      <c r="A9" s="10">
        <v>43371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43392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43418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43495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43550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43551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43558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43570</v>
      </c>
      <c r="B22" s="5" t="s">
        <v>88</v>
      </c>
      <c r="C22" s="5">
        <v>0.5</v>
      </c>
      <c r="D22" s="5">
        <f t="shared" si="0"/>
        <v>6.25E-2</v>
      </c>
    </row>
    <row r="23" spans="1:4" x14ac:dyDescent="0.25">
      <c r="A23" s="10">
        <v>43572</v>
      </c>
      <c r="B23" s="5" t="s">
        <v>88</v>
      </c>
      <c r="C23" s="5">
        <v>0.5</v>
      </c>
      <c r="D23" s="5">
        <f t="shared" si="0"/>
        <v>6.25E-2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43255</v>
      </c>
      <c r="B4" s="5" t="s">
        <v>26</v>
      </c>
      <c r="C4" s="5">
        <v>58</v>
      </c>
      <c r="D4" s="5">
        <f>C4/8</f>
        <v>7.25</v>
      </c>
      <c r="I4" s="5" t="s">
        <v>29</v>
      </c>
    </row>
    <row r="5" spans="1:9" x14ac:dyDescent="0.25">
      <c r="A5" s="10">
        <v>43320</v>
      </c>
      <c r="B5" s="5" t="s">
        <v>58</v>
      </c>
      <c r="C5" s="5">
        <v>-28</v>
      </c>
      <c r="D5" s="5">
        <f t="shared" ref="D5:D68" si="0">C5/8</f>
        <v>-3.5</v>
      </c>
    </row>
    <row r="6" spans="1:9" x14ac:dyDescent="0.25">
      <c r="A6" s="10">
        <v>43326</v>
      </c>
      <c r="B6" s="5" t="s">
        <v>58</v>
      </c>
      <c r="C6" s="5">
        <v>0.25</v>
      </c>
      <c r="D6" s="5">
        <f t="shared" si="0"/>
        <v>3.125E-2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43333</v>
      </c>
      <c r="B8" s="5" t="s">
        <v>58</v>
      </c>
      <c r="C8" s="5">
        <v>1</v>
      </c>
      <c r="D8" s="5">
        <f t="shared" si="0"/>
        <v>0.125</v>
      </c>
    </row>
    <row r="9" spans="1:9" x14ac:dyDescent="0.25">
      <c r="A9" s="10">
        <v>43363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43371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43392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43475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43495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43550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43551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43558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43570</v>
      </c>
      <c r="B23" s="5" t="s">
        <v>88</v>
      </c>
      <c r="C23" s="5">
        <v>0.5</v>
      </c>
      <c r="D23" s="5">
        <f t="shared" si="0"/>
        <v>6.25E-2</v>
      </c>
    </row>
    <row r="24" spans="1:4" x14ac:dyDescent="0.25">
      <c r="A24" s="10">
        <v>43572</v>
      </c>
      <c r="B24" s="5" t="s">
        <v>88</v>
      </c>
      <c r="C24" s="5">
        <v>0.5</v>
      </c>
      <c r="D24" s="5">
        <f t="shared" si="0"/>
        <v>6.25E-2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47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43308</v>
      </c>
      <c r="B5" s="5" t="s">
        <v>58</v>
      </c>
      <c r="C5" s="5">
        <v>40</v>
      </c>
      <c r="D5" s="5">
        <f t="shared" si="0"/>
        <v>5</v>
      </c>
      <c r="I5" s="5" t="s">
        <v>61</v>
      </c>
    </row>
    <row r="6" spans="1:9" x14ac:dyDescent="0.25">
      <c r="A6" s="10">
        <v>43320</v>
      </c>
      <c r="B6" s="5" t="s">
        <v>58</v>
      </c>
      <c r="C6" s="5">
        <v>12</v>
      </c>
      <c r="D6" s="5">
        <f t="shared" si="0"/>
        <v>1.5</v>
      </c>
    </row>
    <row r="7" spans="1:9" x14ac:dyDescent="0.25">
      <c r="A7" s="10">
        <v>43326</v>
      </c>
      <c r="B7" s="5" t="s">
        <v>58</v>
      </c>
      <c r="C7" s="5">
        <v>2</v>
      </c>
      <c r="D7" s="5">
        <f t="shared" si="0"/>
        <v>0.25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43333</v>
      </c>
      <c r="B9" s="5" t="s">
        <v>58</v>
      </c>
      <c r="C9" s="5">
        <v>2</v>
      </c>
      <c r="D9" s="5">
        <f t="shared" si="0"/>
        <v>0.25</v>
      </c>
    </row>
    <row r="10" spans="1:9" x14ac:dyDescent="0.25">
      <c r="A10" s="10">
        <v>43363</v>
      </c>
      <c r="B10" s="5" t="s">
        <v>26</v>
      </c>
      <c r="C10" s="5">
        <v>2</v>
      </c>
      <c r="D10" s="5">
        <f t="shared" si="0"/>
        <v>0.25</v>
      </c>
    </row>
    <row r="11" spans="1:9" x14ac:dyDescent="0.25">
      <c r="A11" s="10">
        <v>43376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43475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43496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0.5</v>
      </c>
      <c r="D21" s="5">
        <f t="shared" si="0"/>
        <v>6.25E-2</v>
      </c>
    </row>
    <row r="22" spans="1:4" x14ac:dyDescent="0.25">
      <c r="A22" s="10">
        <v>43570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A23" s="10">
        <v>43572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48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98</v>
      </c>
      <c r="D4" s="5">
        <f>C4/8</f>
        <v>12.25</v>
      </c>
      <c r="E4" s="5">
        <v>1.6</v>
      </c>
      <c r="F4" s="5" t="s">
        <v>36</v>
      </c>
      <c r="I4" s="5" t="s">
        <v>39</v>
      </c>
    </row>
    <row r="5" spans="1:9" x14ac:dyDescent="0.25">
      <c r="A5" s="10">
        <v>43308</v>
      </c>
      <c r="B5" s="5" t="s">
        <v>58</v>
      </c>
      <c r="C5" s="5">
        <v>-8</v>
      </c>
      <c r="D5" s="5">
        <f t="shared" ref="D5:D68" si="0">C5/8</f>
        <v>-1</v>
      </c>
      <c r="I5" s="5" t="s">
        <v>61</v>
      </c>
    </row>
    <row r="6" spans="1:9" x14ac:dyDescent="0.25">
      <c r="A6" s="10">
        <v>43320</v>
      </c>
      <c r="B6" s="5" t="s">
        <v>58</v>
      </c>
      <c r="C6" s="5">
        <v>44</v>
      </c>
      <c r="D6" s="5">
        <f t="shared" si="0"/>
        <v>5.5</v>
      </c>
    </row>
    <row r="7" spans="1:9" x14ac:dyDescent="0.25">
      <c r="A7" s="10">
        <v>43326</v>
      </c>
      <c r="B7" s="5" t="s">
        <v>58</v>
      </c>
      <c r="C7" s="5">
        <v>40</v>
      </c>
      <c r="D7" s="5">
        <f t="shared" si="0"/>
        <v>5</v>
      </c>
      <c r="I7" s="5" t="s">
        <v>78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43363</v>
      </c>
      <c r="B9" s="5" t="s">
        <v>26</v>
      </c>
      <c r="C9" s="5">
        <v>1</v>
      </c>
      <c r="D9" s="5">
        <f t="shared" si="0"/>
        <v>0.125</v>
      </c>
    </row>
    <row r="10" spans="1:9" x14ac:dyDescent="0.25">
      <c r="A10" s="10">
        <v>43376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43405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43475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43496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0.5</v>
      </c>
      <c r="D21" s="5">
        <f t="shared" si="0"/>
        <v>6.25E-2</v>
      </c>
    </row>
    <row r="22" spans="1:4" x14ac:dyDescent="0.25">
      <c r="A22" s="10">
        <v>43570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A23" s="10">
        <v>43572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8" sqref="A8:XFD8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49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90</v>
      </c>
      <c r="D4" s="5">
        <f>C4/8</f>
        <v>11.25</v>
      </c>
      <c r="E4" s="5">
        <v>1.4</v>
      </c>
      <c r="F4" s="5" t="s">
        <v>36</v>
      </c>
      <c r="I4" s="5" t="s">
        <v>43</v>
      </c>
    </row>
    <row r="5" spans="1:9" x14ac:dyDescent="0.25">
      <c r="A5" s="10">
        <v>43320</v>
      </c>
      <c r="B5" s="5" t="s">
        <v>58</v>
      </c>
      <c r="C5" s="5">
        <v>-32</v>
      </c>
      <c r="D5" s="5">
        <f t="shared" ref="D5:D68" si="0">C5/8</f>
        <v>-4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43513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/>
      <c r="D8" s="5">
        <f t="shared" si="0"/>
        <v>0</v>
      </c>
    </row>
    <row r="9" spans="1:9" x14ac:dyDescent="0.25">
      <c r="D9" s="5">
        <f t="shared" si="0"/>
        <v>0</v>
      </c>
    </row>
    <row r="10" spans="1:9" x14ac:dyDescent="0.25">
      <c r="D10" s="5">
        <f t="shared" si="0"/>
        <v>0</v>
      </c>
    </row>
    <row r="11" spans="1:9" x14ac:dyDescent="0.25">
      <c r="D11" s="5">
        <f t="shared" si="0"/>
        <v>0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9" sqref="A19:XFD19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50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65</v>
      </c>
      <c r="D4" s="5">
        <f>C4/8</f>
        <v>8.125</v>
      </c>
      <c r="E4" s="5">
        <v>1.1000000000000001</v>
      </c>
      <c r="F4" s="5" t="s">
        <v>36</v>
      </c>
      <c r="I4" s="5" t="s">
        <v>43</v>
      </c>
    </row>
    <row r="5" spans="1:9" x14ac:dyDescent="0.25">
      <c r="A5" s="10">
        <v>43326</v>
      </c>
      <c r="B5" s="5" t="s">
        <v>58</v>
      </c>
      <c r="C5" s="5">
        <v>-16</v>
      </c>
      <c r="D5" s="5">
        <f t="shared" ref="D5:D68" si="0">C5/8</f>
        <v>-2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43363</v>
      </c>
      <c r="B7" s="5" t="s">
        <v>26</v>
      </c>
      <c r="C7" s="5">
        <v>1</v>
      </c>
      <c r="D7" s="5">
        <f t="shared" si="0"/>
        <v>0.125</v>
      </c>
    </row>
    <row r="8" spans="1:9" x14ac:dyDescent="0.25">
      <c r="A8" s="10">
        <v>43371</v>
      </c>
      <c r="B8" s="5" t="s">
        <v>80</v>
      </c>
      <c r="C8" s="5">
        <v>0.5</v>
      </c>
      <c r="D8" s="5">
        <f t="shared" si="0"/>
        <v>6.25E-2</v>
      </c>
    </row>
    <row r="9" spans="1:9" x14ac:dyDescent="0.25">
      <c r="A9" s="10">
        <v>43376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43381</v>
      </c>
      <c r="B10" s="5" t="s">
        <v>80</v>
      </c>
      <c r="C10" s="5">
        <v>0</v>
      </c>
      <c r="D10" s="5">
        <f t="shared" si="0"/>
        <v>0</v>
      </c>
      <c r="I10" s="5" t="s">
        <v>86</v>
      </c>
    </row>
    <row r="11" spans="1:9" x14ac:dyDescent="0.25">
      <c r="A11" s="10">
        <v>43405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43513</v>
      </c>
      <c r="B12" s="5" t="s">
        <v>26</v>
      </c>
      <c r="C12" s="5">
        <v>0.25</v>
      </c>
      <c r="D12" s="5">
        <f t="shared" si="0"/>
        <v>3.125E-2</v>
      </c>
    </row>
    <row r="13" spans="1:9" x14ac:dyDescent="0.25">
      <c r="A13" s="10">
        <v>43520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43536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43549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43550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43564</v>
      </c>
      <c r="B17" s="5" t="s">
        <v>26</v>
      </c>
      <c r="C17" s="5">
        <v>0.25</v>
      </c>
      <c r="D17" s="5">
        <f t="shared" si="0"/>
        <v>3.125E-2</v>
      </c>
    </row>
    <row r="18" spans="1:4" x14ac:dyDescent="0.25">
      <c r="A18" s="10">
        <v>43566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43572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43252</v>
      </c>
      <c r="B4" s="5" t="s">
        <v>26</v>
      </c>
      <c r="C4" s="5">
        <v>103</v>
      </c>
      <c r="D4" s="5">
        <f t="shared" ref="D4:D67" si="0">C4/8</f>
        <v>12.875</v>
      </c>
      <c r="I4" s="5" t="s">
        <v>34</v>
      </c>
    </row>
    <row r="5" spans="1:9" x14ac:dyDescent="0.25">
      <c r="A5" s="10">
        <v>43312</v>
      </c>
      <c r="B5" s="5" t="s">
        <v>58</v>
      </c>
      <c r="C5" s="5">
        <v>48</v>
      </c>
      <c r="D5" s="5">
        <f t="shared" si="0"/>
        <v>6</v>
      </c>
    </row>
    <row r="6" spans="1:9" x14ac:dyDescent="0.25">
      <c r="A6" s="10">
        <v>43320</v>
      </c>
      <c r="B6" s="5" t="s">
        <v>58</v>
      </c>
      <c r="C6" s="5">
        <v>10</v>
      </c>
      <c r="D6" s="5">
        <f t="shared" si="0"/>
        <v>1.25</v>
      </c>
    </row>
    <row r="7" spans="1:9" x14ac:dyDescent="0.25">
      <c r="A7" s="10">
        <v>43326</v>
      </c>
      <c r="B7" s="5" t="s">
        <v>58</v>
      </c>
      <c r="C7" s="5">
        <v>2</v>
      </c>
      <c r="D7" s="5">
        <f t="shared" si="0"/>
        <v>0.25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43363</v>
      </c>
      <c r="B9" s="5" t="s">
        <v>26</v>
      </c>
      <c r="C9" s="5">
        <v>6</v>
      </c>
      <c r="D9" s="5">
        <f t="shared" si="0"/>
        <v>0.75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43406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43475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43496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43570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A23" s="10">
        <v>43572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6" sqref="A26:XFD26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43256</v>
      </c>
      <c r="B4" s="5" t="s">
        <v>26</v>
      </c>
      <c r="C4" s="5">
        <v>87</v>
      </c>
      <c r="D4" s="5">
        <f>C4/8</f>
        <v>10.875</v>
      </c>
      <c r="I4" s="5" t="s">
        <v>27</v>
      </c>
    </row>
    <row r="5" spans="1:9" x14ac:dyDescent="0.25">
      <c r="A5" s="10">
        <v>43269</v>
      </c>
      <c r="B5" s="5" t="s">
        <v>26</v>
      </c>
      <c r="C5" s="5">
        <v>66</v>
      </c>
      <c r="D5" s="5">
        <f t="shared" ref="D5:D68" si="0">C5/8</f>
        <v>8.25</v>
      </c>
      <c r="E5" s="5">
        <v>0.9</v>
      </c>
      <c r="F5" s="5" t="s">
        <v>44</v>
      </c>
      <c r="I5" s="5" t="s">
        <v>50</v>
      </c>
    </row>
    <row r="6" spans="1:9" x14ac:dyDescent="0.25">
      <c r="A6" s="10">
        <v>43312</v>
      </c>
      <c r="B6" s="5" t="s">
        <v>58</v>
      </c>
      <c r="C6" s="5">
        <v>8</v>
      </c>
      <c r="D6" s="5">
        <f t="shared" si="0"/>
        <v>1</v>
      </c>
    </row>
    <row r="7" spans="1:9" x14ac:dyDescent="0.25">
      <c r="A7" s="10">
        <v>43320</v>
      </c>
      <c r="B7" s="5" t="s">
        <v>58</v>
      </c>
      <c r="C7" s="5">
        <v>12</v>
      </c>
      <c r="D7" s="5">
        <f t="shared" si="0"/>
        <v>1.5</v>
      </c>
    </row>
    <row r="8" spans="1:9" x14ac:dyDescent="0.25">
      <c r="A8" s="10">
        <v>43326</v>
      </c>
      <c r="B8" s="5" t="s">
        <v>58</v>
      </c>
      <c r="C8" s="5">
        <v>2</v>
      </c>
      <c r="D8" s="5">
        <f t="shared" si="0"/>
        <v>0.25</v>
      </c>
    </row>
    <row r="9" spans="1:9" x14ac:dyDescent="0.25">
      <c r="A9" s="10">
        <v>43332</v>
      </c>
      <c r="B9" s="5" t="s">
        <v>79</v>
      </c>
      <c r="C9" s="5">
        <v>-15.2</v>
      </c>
      <c r="D9" s="5">
        <f t="shared" si="0"/>
        <v>-1.9</v>
      </c>
    </row>
    <row r="10" spans="1:9" x14ac:dyDescent="0.25">
      <c r="A10" s="10">
        <v>43333</v>
      </c>
      <c r="B10" s="5" t="s">
        <v>58</v>
      </c>
      <c r="C10" s="5">
        <v>0.5</v>
      </c>
      <c r="D10" s="5">
        <f t="shared" si="0"/>
        <v>6.25E-2</v>
      </c>
    </row>
    <row r="11" spans="1:9" x14ac:dyDescent="0.25">
      <c r="A11" s="10">
        <v>43363</v>
      </c>
      <c r="B11" s="5" t="s">
        <v>26</v>
      </c>
      <c r="C11" s="5">
        <v>6</v>
      </c>
      <c r="D11" s="5">
        <f t="shared" si="0"/>
        <v>0.75</v>
      </c>
    </row>
    <row r="12" spans="1:9" x14ac:dyDescent="0.25">
      <c r="A12" s="10">
        <v>43369</v>
      </c>
      <c r="B12" s="5" t="s">
        <v>26</v>
      </c>
      <c r="C12" s="5">
        <v>0.5</v>
      </c>
      <c r="D12" s="5">
        <f t="shared" si="0"/>
        <v>6.25E-2</v>
      </c>
    </row>
    <row r="13" spans="1:9" x14ac:dyDescent="0.25">
      <c r="A13" s="10">
        <v>43371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43406</v>
      </c>
      <c r="B14" s="5" t="s">
        <v>80</v>
      </c>
      <c r="C14" s="5">
        <v>0.5</v>
      </c>
      <c r="D14" s="5">
        <f t="shared" si="0"/>
        <v>6.25E-2</v>
      </c>
    </row>
    <row r="15" spans="1:9" x14ac:dyDescent="0.25">
      <c r="A15" s="10">
        <v>43418</v>
      </c>
      <c r="B15" s="5" t="s">
        <v>80</v>
      </c>
      <c r="C15" s="5">
        <v>0.5</v>
      </c>
      <c r="D15" s="5">
        <f t="shared" si="0"/>
        <v>6.25E-2</v>
      </c>
    </row>
    <row r="16" spans="1:9" x14ac:dyDescent="0.25">
      <c r="A16" s="10">
        <v>43475</v>
      </c>
      <c r="B16" s="5" t="s">
        <v>80</v>
      </c>
      <c r="C16" s="5">
        <v>0.25</v>
      </c>
      <c r="D16" s="5">
        <f t="shared" si="0"/>
        <v>3.125E-2</v>
      </c>
    </row>
    <row r="17" spans="1:4" x14ac:dyDescent="0.25">
      <c r="A17" s="10">
        <v>43496</v>
      </c>
      <c r="B17" s="5" t="s">
        <v>80</v>
      </c>
      <c r="C17" s="5">
        <v>0.25</v>
      </c>
      <c r="D17" s="5">
        <f t="shared" si="0"/>
        <v>3.125E-2</v>
      </c>
    </row>
    <row r="18" spans="1:4" x14ac:dyDescent="0.25">
      <c r="A18" s="10">
        <v>43513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43520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43536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43549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43550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A23" s="10">
        <v>43564</v>
      </c>
      <c r="B23" s="5" t="s">
        <v>26</v>
      </c>
      <c r="C23" s="5">
        <v>0.25</v>
      </c>
      <c r="D23" s="5">
        <f t="shared" si="0"/>
        <v>3.125E-2</v>
      </c>
    </row>
    <row r="24" spans="1:4" x14ac:dyDescent="0.25">
      <c r="A24" s="10">
        <v>43566</v>
      </c>
      <c r="B24" s="5" t="s">
        <v>26</v>
      </c>
      <c r="C24" s="5">
        <v>0.5</v>
      </c>
      <c r="D24" s="5">
        <f t="shared" si="0"/>
        <v>6.25E-2</v>
      </c>
    </row>
    <row r="25" spans="1:4" x14ac:dyDescent="0.25">
      <c r="A25" s="10">
        <v>43570</v>
      </c>
      <c r="B25" s="5" t="s">
        <v>88</v>
      </c>
      <c r="C25" s="5">
        <v>0.25</v>
      </c>
      <c r="D25" s="5">
        <f t="shared" si="0"/>
        <v>3.125E-2</v>
      </c>
    </row>
    <row r="26" spans="1:4" x14ac:dyDescent="0.25">
      <c r="A26" s="10">
        <v>43572</v>
      </c>
      <c r="B26" s="5" t="s">
        <v>88</v>
      </c>
      <c r="C26" s="5">
        <v>0.25</v>
      </c>
      <c r="D26" s="5">
        <f t="shared" si="0"/>
        <v>3.125E-2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8" sqref="A18:XFD18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76</v>
      </c>
      <c r="D4" s="5">
        <f>C4/8</f>
        <v>9.5</v>
      </c>
      <c r="E4" s="5">
        <v>1.3</v>
      </c>
      <c r="F4" s="5" t="s">
        <v>36</v>
      </c>
      <c r="I4" s="5" t="s">
        <v>51</v>
      </c>
    </row>
    <row r="5" spans="1:9" x14ac:dyDescent="0.25">
      <c r="A5" s="10">
        <v>43312</v>
      </c>
      <c r="B5" s="5" t="s">
        <v>58</v>
      </c>
      <c r="C5" s="5">
        <v>-28</v>
      </c>
      <c r="D5" s="5">
        <f t="shared" ref="D5:D68" si="0">C5/8</f>
        <v>-3.5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43363</v>
      </c>
      <c r="B7" s="5" t="s">
        <v>26</v>
      </c>
      <c r="C7" s="5">
        <v>2</v>
      </c>
      <c r="D7" s="5">
        <f t="shared" si="0"/>
        <v>0.25</v>
      </c>
    </row>
    <row r="8" spans="1:9" x14ac:dyDescent="0.25">
      <c r="A8" s="10">
        <v>43369</v>
      </c>
      <c r="B8" s="5" t="s">
        <v>26</v>
      </c>
      <c r="C8" s="5">
        <v>0.5</v>
      </c>
      <c r="D8" s="5">
        <f t="shared" si="0"/>
        <v>6.25E-2</v>
      </c>
    </row>
    <row r="9" spans="1:9" x14ac:dyDescent="0.25">
      <c r="A9" s="10">
        <v>43418</v>
      </c>
      <c r="B9" s="5" t="s">
        <v>80</v>
      </c>
      <c r="C9" s="5">
        <v>0.5</v>
      </c>
      <c r="D9" s="5">
        <f t="shared" si="0"/>
        <v>6.25E-2</v>
      </c>
      <c r="I9" s="5" t="s">
        <v>87</v>
      </c>
    </row>
    <row r="10" spans="1:9" x14ac:dyDescent="0.25">
      <c r="A10" s="10">
        <v>43513</v>
      </c>
      <c r="B10" s="5" t="s">
        <v>26</v>
      </c>
      <c r="C10" s="5">
        <v>0.25</v>
      </c>
      <c r="D10" s="5">
        <f t="shared" si="0"/>
        <v>3.125E-2</v>
      </c>
    </row>
    <row r="11" spans="1:9" x14ac:dyDescent="0.25">
      <c r="A11" s="10">
        <v>43520</v>
      </c>
      <c r="B11" s="5" t="s">
        <v>88</v>
      </c>
      <c r="C11" s="5">
        <v>0.25</v>
      </c>
      <c r="D11" s="5">
        <f t="shared" si="0"/>
        <v>3.125E-2</v>
      </c>
    </row>
    <row r="12" spans="1:9" x14ac:dyDescent="0.25">
      <c r="A12" s="10">
        <v>43536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43549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43550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43564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43566</v>
      </c>
      <c r="B16" s="5" t="s">
        <v>26</v>
      </c>
      <c r="C16" s="5">
        <v>0.25</v>
      </c>
      <c r="D16" s="5">
        <f t="shared" si="0"/>
        <v>3.125E-2</v>
      </c>
    </row>
    <row r="17" spans="1:4" x14ac:dyDescent="0.25">
      <c r="A17" s="10">
        <v>43570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43572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9" sqref="A9:XFD9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43252</v>
      </c>
      <c r="B4" s="5" t="s">
        <v>26</v>
      </c>
      <c r="C4" s="5">
        <v>58</v>
      </c>
      <c r="D4" s="5">
        <f t="shared" ref="D4:D67" si="0">C4/8</f>
        <v>7.25</v>
      </c>
      <c r="I4" s="5" t="s">
        <v>34</v>
      </c>
    </row>
    <row r="5" spans="1:9" x14ac:dyDescent="0.25">
      <c r="A5" s="10">
        <v>43332</v>
      </c>
      <c r="B5" s="5" t="s">
        <v>79</v>
      </c>
      <c r="C5" s="5">
        <v>-15.2</v>
      </c>
      <c r="D5" s="5">
        <f t="shared" si="0"/>
        <v>-1.9</v>
      </c>
    </row>
    <row r="6" spans="1:9" x14ac:dyDescent="0.25">
      <c r="A6" s="10">
        <v>43363</v>
      </c>
      <c r="B6" s="5" t="s">
        <v>26</v>
      </c>
      <c r="C6" s="5">
        <v>2</v>
      </c>
      <c r="D6" s="5">
        <f t="shared" si="0"/>
        <v>0.25</v>
      </c>
    </row>
    <row r="7" spans="1:9" x14ac:dyDescent="0.25">
      <c r="A7" s="10">
        <v>43513</v>
      </c>
      <c r="B7" s="5" t="s">
        <v>26</v>
      </c>
      <c r="C7" s="5">
        <v>0.25</v>
      </c>
      <c r="D7" s="5">
        <f t="shared" si="0"/>
        <v>3.125E-2</v>
      </c>
    </row>
    <row r="8" spans="1:9" x14ac:dyDescent="0.25">
      <c r="A8" s="10">
        <v>43536</v>
      </c>
      <c r="B8" s="5" t="s">
        <v>88</v>
      </c>
      <c r="C8" s="5">
        <v>0.25</v>
      </c>
      <c r="D8" s="5">
        <f t="shared" si="0"/>
        <v>3.125E-2</v>
      </c>
    </row>
    <row r="9" spans="1:9" x14ac:dyDescent="0.25">
      <c r="D9" s="5">
        <f t="shared" si="0"/>
        <v>0</v>
      </c>
    </row>
    <row r="10" spans="1:9" x14ac:dyDescent="0.25">
      <c r="D10" s="5">
        <f t="shared" si="0"/>
        <v>0</v>
      </c>
    </row>
    <row r="11" spans="1:9" x14ac:dyDescent="0.25">
      <c r="D11" s="5">
        <f t="shared" si="0"/>
        <v>0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A15" s="10"/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6" sqref="A26:XFD26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43265</v>
      </c>
      <c r="B4" s="5" t="s">
        <v>26</v>
      </c>
      <c r="C4" s="5">
        <v>80</v>
      </c>
      <c r="D4" s="5">
        <f>C4/8</f>
        <v>10</v>
      </c>
      <c r="I4" s="5" t="s">
        <v>27</v>
      </c>
    </row>
    <row r="5" spans="1:9" x14ac:dyDescent="0.25">
      <c r="A5" s="10">
        <v>43312</v>
      </c>
      <c r="B5" s="5" t="s">
        <v>58</v>
      </c>
      <c r="C5" s="5">
        <v>-32</v>
      </c>
      <c r="D5" s="5">
        <f t="shared" ref="D5:D68" si="0">C5/8</f>
        <v>-4</v>
      </c>
    </row>
    <row r="6" spans="1:9" x14ac:dyDescent="0.25">
      <c r="A6" s="10">
        <v>43321</v>
      </c>
      <c r="B6" s="5" t="s">
        <v>58</v>
      </c>
      <c r="C6" s="5">
        <v>0.25</v>
      </c>
      <c r="D6" s="5">
        <f t="shared" si="0"/>
        <v>3.125E-2</v>
      </c>
      <c r="I6" s="5" t="s">
        <v>76</v>
      </c>
    </row>
    <row r="7" spans="1:9" x14ac:dyDescent="0.25">
      <c r="A7" s="10">
        <v>43329</v>
      </c>
      <c r="B7" s="5" t="s">
        <v>58</v>
      </c>
      <c r="C7" s="5">
        <v>0.5</v>
      </c>
      <c r="D7" s="5">
        <f t="shared" si="0"/>
        <v>6.25E-2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43333</v>
      </c>
      <c r="B9" s="5" t="s">
        <v>58</v>
      </c>
      <c r="C9" s="5">
        <v>0.5</v>
      </c>
      <c r="D9" s="5">
        <f t="shared" si="0"/>
        <v>6.25E-2</v>
      </c>
    </row>
    <row r="10" spans="1:9" x14ac:dyDescent="0.25">
      <c r="A10" s="10">
        <v>43363</v>
      </c>
      <c r="B10" s="5" t="s">
        <v>26</v>
      </c>
      <c r="C10" s="5">
        <v>2</v>
      </c>
      <c r="D10" s="5">
        <f t="shared" si="0"/>
        <v>0.25</v>
      </c>
    </row>
    <row r="11" spans="1:9" x14ac:dyDescent="0.25">
      <c r="A11" s="10">
        <v>43369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43377</v>
      </c>
      <c r="B12" s="5" t="s">
        <v>26</v>
      </c>
      <c r="C12" s="5">
        <v>0.25</v>
      </c>
      <c r="D12" s="5">
        <f t="shared" si="0"/>
        <v>3.125E-2</v>
      </c>
    </row>
    <row r="13" spans="1:9" x14ac:dyDescent="0.25">
      <c r="A13" s="10">
        <v>43411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43418</v>
      </c>
      <c r="B14" s="5" t="s">
        <v>80</v>
      </c>
      <c r="C14" s="5">
        <v>0.5</v>
      </c>
      <c r="D14" s="5">
        <f t="shared" si="0"/>
        <v>6.25E-2</v>
      </c>
    </row>
    <row r="15" spans="1:9" x14ac:dyDescent="0.25">
      <c r="A15" s="10">
        <v>43475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43497</v>
      </c>
      <c r="B16" s="5" t="s">
        <v>80</v>
      </c>
      <c r="C16" s="5">
        <v>0.25</v>
      </c>
      <c r="D16" s="5">
        <f t="shared" si="0"/>
        <v>3.125E-2</v>
      </c>
    </row>
    <row r="17" spans="1:4" x14ac:dyDescent="0.25">
      <c r="A17" s="10">
        <v>43513</v>
      </c>
      <c r="B17" s="5" t="s">
        <v>26</v>
      </c>
      <c r="C17" s="5">
        <v>0.5</v>
      </c>
      <c r="D17" s="5">
        <f t="shared" si="0"/>
        <v>6.25E-2</v>
      </c>
    </row>
    <row r="18" spans="1:4" x14ac:dyDescent="0.25">
      <c r="A18" s="10">
        <v>43520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43536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43549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43550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A22" s="10">
        <v>43552</v>
      </c>
      <c r="B22" s="5" t="s">
        <v>88</v>
      </c>
      <c r="C22" s="5">
        <v>10</v>
      </c>
      <c r="D22" s="5">
        <f t="shared" si="0"/>
        <v>1.25</v>
      </c>
    </row>
    <row r="23" spans="1:4" x14ac:dyDescent="0.25">
      <c r="A23" s="10">
        <v>43564</v>
      </c>
      <c r="B23" s="5" t="s">
        <v>26</v>
      </c>
      <c r="C23" s="5">
        <v>0.25</v>
      </c>
      <c r="D23" s="5">
        <f t="shared" si="0"/>
        <v>3.125E-2</v>
      </c>
    </row>
    <row r="24" spans="1:4" x14ac:dyDescent="0.25">
      <c r="A24" s="10">
        <v>43566</v>
      </c>
      <c r="B24" s="5" t="s">
        <v>26</v>
      </c>
      <c r="C24" s="5">
        <v>0.5</v>
      </c>
      <c r="D24" s="5">
        <f t="shared" si="0"/>
        <v>6.25E-2</v>
      </c>
    </row>
    <row r="25" spans="1:4" x14ac:dyDescent="0.25">
      <c r="A25" s="10">
        <v>43570</v>
      </c>
      <c r="B25" s="5" t="s">
        <v>88</v>
      </c>
      <c r="C25" s="5">
        <v>0.5</v>
      </c>
      <c r="D25" s="5">
        <f t="shared" si="0"/>
        <v>6.25E-2</v>
      </c>
    </row>
    <row r="26" spans="1:4" x14ac:dyDescent="0.25">
      <c r="A26" s="10">
        <v>43572</v>
      </c>
      <c r="B26" s="5" t="s">
        <v>88</v>
      </c>
      <c r="C26" s="5">
        <v>0.5</v>
      </c>
      <c r="D26" s="5">
        <f t="shared" si="0"/>
        <v>6.25E-2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3" sqref="A1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100</v>
      </c>
      <c r="D4" s="5">
        <f>C4/8</f>
        <v>12.5</v>
      </c>
      <c r="E4" s="5">
        <v>1</v>
      </c>
      <c r="F4" s="5" t="s">
        <v>44</v>
      </c>
      <c r="I4" s="5" t="s">
        <v>45</v>
      </c>
    </row>
    <row r="5" spans="1:9" x14ac:dyDescent="0.25">
      <c r="A5" s="10">
        <v>43312</v>
      </c>
      <c r="B5" s="5" t="s">
        <v>58</v>
      </c>
      <c r="C5" s="5">
        <v>-52</v>
      </c>
      <c r="D5" s="5">
        <f t="shared" ref="D5:D68" si="0">C5/8</f>
        <v>-6.5</v>
      </c>
      <c r="I5" s="5" t="s">
        <v>67</v>
      </c>
    </row>
    <row r="6" spans="1:9" x14ac:dyDescent="0.25">
      <c r="A6" s="10">
        <v>43321</v>
      </c>
      <c r="B6" s="5" t="s">
        <v>58</v>
      </c>
      <c r="C6" s="5">
        <v>0.25</v>
      </c>
      <c r="D6" s="5">
        <f t="shared" si="0"/>
        <v>3.125E-2</v>
      </c>
      <c r="I6" s="5" t="s">
        <v>76</v>
      </c>
    </row>
    <row r="7" spans="1:9" x14ac:dyDescent="0.25">
      <c r="A7" s="10">
        <v>43329</v>
      </c>
      <c r="B7" s="5" t="s">
        <v>58</v>
      </c>
      <c r="C7" s="5">
        <v>1</v>
      </c>
      <c r="D7" s="5">
        <f t="shared" si="0"/>
        <v>0.125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43333</v>
      </c>
      <c r="B9" s="5" t="s">
        <v>58</v>
      </c>
      <c r="C9" s="5">
        <v>0.25</v>
      </c>
      <c r="D9" s="5">
        <f t="shared" si="0"/>
        <v>3.125E-2</v>
      </c>
    </row>
    <row r="10" spans="1:9" x14ac:dyDescent="0.25">
      <c r="A10" s="10">
        <v>43363</v>
      </c>
      <c r="B10" s="5" t="s">
        <v>26</v>
      </c>
      <c r="C10" s="5">
        <v>2</v>
      </c>
      <c r="D10" s="5">
        <f t="shared" si="0"/>
        <v>0.25</v>
      </c>
    </row>
    <row r="11" spans="1:9" x14ac:dyDescent="0.25">
      <c r="A11" s="10">
        <v>43369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43370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/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57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72</v>
      </c>
      <c r="D4" s="5">
        <f>C4/8</f>
        <v>9</v>
      </c>
      <c r="E4" s="5">
        <v>1</v>
      </c>
      <c r="F4" s="5" t="s">
        <v>36</v>
      </c>
      <c r="I4" s="5" t="s">
        <v>43</v>
      </c>
    </row>
    <row r="5" spans="1:9" x14ac:dyDescent="0.25">
      <c r="A5" s="10">
        <v>43321</v>
      </c>
      <c r="B5" s="5" t="s">
        <v>58</v>
      </c>
      <c r="C5" s="5">
        <v>-28</v>
      </c>
      <c r="D5" s="5">
        <f t="shared" ref="D5:D68" si="0">C5/8</f>
        <v>-3.5</v>
      </c>
      <c r="I5" s="5" t="s">
        <v>76</v>
      </c>
    </row>
    <row r="6" spans="1:9" x14ac:dyDescent="0.25">
      <c r="A6" s="10">
        <v>43329</v>
      </c>
      <c r="B6" s="5" t="s">
        <v>58</v>
      </c>
      <c r="C6" s="5">
        <v>-4</v>
      </c>
      <c r="D6" s="5">
        <f t="shared" si="0"/>
        <v>-0.5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43363</v>
      </c>
      <c r="B8" s="5" t="s">
        <v>26</v>
      </c>
      <c r="C8" s="5">
        <v>2</v>
      </c>
      <c r="D8" s="5">
        <f t="shared" si="0"/>
        <v>0.25</v>
      </c>
    </row>
    <row r="9" spans="1:9" x14ac:dyDescent="0.25">
      <c r="A9" s="10">
        <v>43369</v>
      </c>
      <c r="B9" s="5" t="s">
        <v>26</v>
      </c>
      <c r="C9" s="5">
        <v>0.5</v>
      </c>
      <c r="D9" s="5">
        <f t="shared" si="0"/>
        <v>6.25E-2</v>
      </c>
    </row>
    <row r="10" spans="1:9" x14ac:dyDescent="0.25">
      <c r="A10" s="10">
        <v>43377</v>
      </c>
      <c r="B10" s="5" t="s">
        <v>26</v>
      </c>
      <c r="C10" s="5">
        <v>0.25</v>
      </c>
      <c r="D10" s="5">
        <f t="shared" si="0"/>
        <v>3.125E-2</v>
      </c>
    </row>
    <row r="11" spans="1:9" x14ac:dyDescent="0.25">
      <c r="A11" s="10">
        <v>43411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43475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43497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0.5</v>
      </c>
      <c r="D15" s="5">
        <f t="shared" si="0"/>
        <v>6.25E-2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43550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43570</v>
      </c>
      <c r="B22" s="5" t="s">
        <v>88</v>
      </c>
      <c r="C22" s="5">
        <v>0.5</v>
      </c>
      <c r="D22" s="5">
        <f t="shared" si="0"/>
        <v>6.25E-2</v>
      </c>
    </row>
    <row r="23" spans="1:4" x14ac:dyDescent="0.25">
      <c r="A23" s="10">
        <v>43572</v>
      </c>
      <c r="B23" s="5" t="s">
        <v>88</v>
      </c>
      <c r="C23" s="5">
        <v>0.5</v>
      </c>
      <c r="D23" s="5">
        <f t="shared" si="0"/>
        <v>6.25E-2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58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43313</v>
      </c>
      <c r="B5" s="5" t="s">
        <v>58</v>
      </c>
      <c r="C5" s="5">
        <v>64</v>
      </c>
      <c r="D5" s="5">
        <f t="shared" si="0"/>
        <v>8</v>
      </c>
      <c r="I5" s="5" t="s">
        <v>61</v>
      </c>
    </row>
    <row r="6" spans="1:9" x14ac:dyDescent="0.25">
      <c r="A6" s="10">
        <v>43321</v>
      </c>
      <c r="B6" s="5" t="s">
        <v>58</v>
      </c>
      <c r="C6" s="5">
        <v>16</v>
      </c>
      <c r="D6" s="5">
        <f t="shared" si="0"/>
        <v>2</v>
      </c>
      <c r="I6" s="5" t="s">
        <v>76</v>
      </c>
    </row>
    <row r="7" spans="1:9" x14ac:dyDescent="0.25">
      <c r="A7" s="10">
        <v>43329</v>
      </c>
      <c r="B7" s="5" t="s">
        <v>58</v>
      </c>
      <c r="C7" s="5">
        <v>5</v>
      </c>
      <c r="D7" s="5">
        <f t="shared" si="0"/>
        <v>0.625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43333</v>
      </c>
      <c r="B9" s="5" t="s">
        <v>58</v>
      </c>
      <c r="C9" s="5">
        <v>0.5</v>
      </c>
      <c r="D9" s="5">
        <f t="shared" si="0"/>
        <v>6.25E-2</v>
      </c>
    </row>
    <row r="10" spans="1:9" x14ac:dyDescent="0.25">
      <c r="A10" s="10">
        <v>43363</v>
      </c>
      <c r="B10" s="5" t="s">
        <v>26</v>
      </c>
      <c r="C10" s="5">
        <v>1</v>
      </c>
      <c r="D10" s="5">
        <f t="shared" si="0"/>
        <v>0.125</v>
      </c>
    </row>
    <row r="11" spans="1:9" x14ac:dyDescent="0.25">
      <c r="A11" s="10">
        <v>43369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43411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43418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43474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43497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43513</v>
      </c>
      <c r="B16" s="5" t="s">
        <v>26</v>
      </c>
      <c r="C16" s="5">
        <v>0.25</v>
      </c>
      <c r="D16" s="5">
        <f t="shared" si="0"/>
        <v>3.125E-2</v>
      </c>
    </row>
    <row r="17" spans="1:4" x14ac:dyDescent="0.25">
      <c r="A17" s="10">
        <v>43520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43536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43549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59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68</v>
      </c>
      <c r="D4" s="5">
        <f>C4/8</f>
        <v>8.5</v>
      </c>
      <c r="E4" s="5">
        <v>1.1000000000000001</v>
      </c>
      <c r="F4" s="5" t="s">
        <v>36</v>
      </c>
      <c r="I4" s="5" t="s">
        <v>43</v>
      </c>
    </row>
    <row r="5" spans="1:9" x14ac:dyDescent="0.25">
      <c r="A5" s="10">
        <v>43321</v>
      </c>
      <c r="B5" s="5" t="s">
        <v>58</v>
      </c>
      <c r="C5" s="5">
        <v>-28</v>
      </c>
      <c r="D5" s="5">
        <f t="shared" ref="D5:D68" si="0">C5/8</f>
        <v>-3.5</v>
      </c>
      <c r="I5" s="5" t="s">
        <v>76</v>
      </c>
    </row>
    <row r="6" spans="1:9" x14ac:dyDescent="0.25">
      <c r="A6" s="10">
        <v>43329</v>
      </c>
      <c r="B6" s="5" t="s">
        <v>58</v>
      </c>
      <c r="C6" s="5">
        <v>-4</v>
      </c>
      <c r="D6" s="5">
        <f t="shared" si="0"/>
        <v>-0.5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43363</v>
      </c>
      <c r="B8" s="5" t="s">
        <v>26</v>
      </c>
      <c r="C8" s="5">
        <v>0.25</v>
      </c>
      <c r="D8" s="5">
        <f t="shared" si="0"/>
        <v>3.125E-2</v>
      </c>
    </row>
    <row r="9" spans="1:9" x14ac:dyDescent="0.25">
      <c r="A9" s="10">
        <v>43369</v>
      </c>
      <c r="B9" s="5" t="s">
        <v>26</v>
      </c>
      <c r="C9" s="5">
        <v>0.5</v>
      </c>
      <c r="D9" s="5">
        <f t="shared" si="0"/>
        <v>6.25E-2</v>
      </c>
    </row>
    <row r="10" spans="1:9" x14ac:dyDescent="0.25">
      <c r="A10" s="10">
        <v>43411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43418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43474</v>
      </c>
      <c r="B12" s="5" t="s">
        <v>80</v>
      </c>
      <c r="C12" s="5">
        <v>0.25</v>
      </c>
      <c r="D12" s="5">
        <f>C12/8</f>
        <v>3.125E-2</v>
      </c>
    </row>
    <row r="13" spans="1:9" x14ac:dyDescent="0.25">
      <c r="A13" s="10">
        <v>43497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43497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43570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A23" s="10">
        <v>43572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60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43252</v>
      </c>
      <c r="B4" s="5" t="s">
        <v>26</v>
      </c>
      <c r="C4" s="5">
        <v>56</v>
      </c>
      <c r="D4" s="5">
        <f t="shared" ref="D4:D67" si="0">C4/8</f>
        <v>7</v>
      </c>
      <c r="I4" s="5" t="s">
        <v>34</v>
      </c>
    </row>
    <row r="5" spans="1:9" x14ac:dyDescent="0.25">
      <c r="A5" s="10">
        <v>43321</v>
      </c>
      <c r="B5" s="5" t="s">
        <v>58</v>
      </c>
      <c r="C5" s="5">
        <v>-12</v>
      </c>
      <c r="D5" s="5">
        <f t="shared" si="0"/>
        <v>-1.5</v>
      </c>
      <c r="I5" s="5" t="s">
        <v>76</v>
      </c>
    </row>
    <row r="6" spans="1:9" x14ac:dyDescent="0.25">
      <c r="A6" s="10">
        <v>43329</v>
      </c>
      <c r="B6" s="5" t="s">
        <v>58</v>
      </c>
      <c r="C6" s="5">
        <v>-0.25</v>
      </c>
      <c r="D6" s="5">
        <f t="shared" si="0"/>
        <v>-3.125E-2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43363</v>
      </c>
      <c r="B8" s="5" t="s">
        <v>26</v>
      </c>
      <c r="C8" s="5">
        <v>1</v>
      </c>
      <c r="D8" s="5">
        <f t="shared" si="0"/>
        <v>0.125</v>
      </c>
    </row>
    <row r="9" spans="1:9" x14ac:dyDescent="0.25">
      <c r="A9" s="10">
        <v>43369</v>
      </c>
      <c r="B9" s="5" t="s">
        <v>26</v>
      </c>
      <c r="C9" s="5">
        <v>0.5</v>
      </c>
      <c r="D9" s="5">
        <f t="shared" si="0"/>
        <v>6.25E-2</v>
      </c>
    </row>
    <row r="10" spans="1:9" x14ac:dyDescent="0.25">
      <c r="A10" s="10">
        <v>43377</v>
      </c>
      <c r="B10" s="5" t="s">
        <v>26</v>
      </c>
      <c r="C10" s="5">
        <v>0.25</v>
      </c>
      <c r="D10" s="5">
        <f t="shared" si="0"/>
        <v>3.125E-2</v>
      </c>
    </row>
    <row r="11" spans="1:9" x14ac:dyDescent="0.25">
      <c r="A11" s="10">
        <v>43411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43497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43498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0.5</v>
      </c>
      <c r="D21" s="5">
        <f t="shared" si="0"/>
        <v>6.25E-2</v>
      </c>
    </row>
    <row r="22" spans="1:4" x14ac:dyDescent="0.25">
      <c r="A22" s="10">
        <v>43570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A23" s="10">
        <v>43572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C12" sqref="C1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80</v>
      </c>
      <c r="D4" s="5">
        <f>C4/8</f>
        <v>10</v>
      </c>
      <c r="E4" s="5">
        <v>1.2</v>
      </c>
      <c r="F4" s="5" t="s">
        <v>36</v>
      </c>
      <c r="I4" s="5" t="s">
        <v>43</v>
      </c>
    </row>
    <row r="5" spans="1:9" x14ac:dyDescent="0.25">
      <c r="A5" s="10">
        <v>43313</v>
      </c>
      <c r="B5" s="5" t="s">
        <v>58</v>
      </c>
      <c r="C5" s="5">
        <v>-44</v>
      </c>
      <c r="D5" s="5">
        <f t="shared" ref="D5:D68" si="0">C5/8</f>
        <v>-5.5</v>
      </c>
      <c r="I5" s="5" t="s">
        <v>61</v>
      </c>
    </row>
    <row r="6" spans="1:9" x14ac:dyDescent="0.25">
      <c r="A6" s="10">
        <v>43321</v>
      </c>
      <c r="B6" s="5" t="s">
        <v>58</v>
      </c>
      <c r="C6" s="5">
        <v>-28</v>
      </c>
      <c r="D6" s="5">
        <f t="shared" si="0"/>
        <v>-3.5</v>
      </c>
      <c r="I6" s="5" t="s">
        <v>76</v>
      </c>
    </row>
    <row r="7" spans="1:9" x14ac:dyDescent="0.25">
      <c r="A7" s="10">
        <v>43329</v>
      </c>
      <c r="B7" s="5" t="s">
        <v>58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43378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43412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43513</v>
      </c>
      <c r="B12" s="5" t="s">
        <v>26</v>
      </c>
      <c r="C12" s="5">
        <v>0.25</v>
      </c>
      <c r="D12" s="5">
        <f t="shared" si="0"/>
        <v>3.125E-2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2" sqref="A22:XFD2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43256</v>
      </c>
      <c r="B4" s="5" t="s">
        <v>26</v>
      </c>
      <c r="C4" s="5">
        <v>57</v>
      </c>
      <c r="D4" s="5">
        <f>C4/8</f>
        <v>7.125</v>
      </c>
      <c r="I4" s="5" t="s">
        <v>27</v>
      </c>
    </row>
    <row r="5" spans="1:9" x14ac:dyDescent="0.25">
      <c r="A5" s="10">
        <v>43315</v>
      </c>
      <c r="B5" s="5" t="s">
        <v>26</v>
      </c>
      <c r="C5" s="5">
        <v>-8</v>
      </c>
      <c r="D5" s="5">
        <f t="shared" ref="D5:D68" si="0">C5/8</f>
        <v>-1</v>
      </c>
      <c r="I5" s="5" t="s">
        <v>69</v>
      </c>
    </row>
    <row r="6" spans="1:9" x14ac:dyDescent="0.25">
      <c r="A6" s="10">
        <v>43321</v>
      </c>
      <c r="B6" s="5" t="s">
        <v>58</v>
      </c>
      <c r="C6" s="5">
        <v>-12</v>
      </c>
      <c r="D6" s="5">
        <f t="shared" si="0"/>
        <v>-1.5</v>
      </c>
      <c r="I6" s="5" t="s">
        <v>69</v>
      </c>
    </row>
    <row r="7" spans="1:9" x14ac:dyDescent="0.25">
      <c r="A7" s="10">
        <v>43329</v>
      </c>
      <c r="B7" s="5" t="s">
        <v>58</v>
      </c>
      <c r="C7" s="5">
        <v>-1</v>
      </c>
      <c r="D7" s="5">
        <f t="shared" si="0"/>
        <v>-0.125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43363</v>
      </c>
      <c r="B9" s="5" t="s">
        <v>26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43378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43474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43513</v>
      </c>
      <c r="B14" s="5" t="s">
        <v>26</v>
      </c>
      <c r="C14" s="5">
        <v>0.5</v>
      </c>
      <c r="D14" s="5">
        <f t="shared" si="0"/>
        <v>6.25E-2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43550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43566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43570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A22" s="10">
        <v>43572</v>
      </c>
      <c r="B22" s="5" t="s">
        <v>88</v>
      </c>
      <c r="C22" s="5">
        <v>0.5</v>
      </c>
      <c r="D22" s="5">
        <f t="shared" si="0"/>
        <v>6.25E-2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55</v>
      </c>
      <c r="D4" s="5">
        <f>C4/8</f>
        <v>6.875</v>
      </c>
      <c r="E4" s="5">
        <v>1</v>
      </c>
      <c r="F4" s="5" t="s">
        <v>36</v>
      </c>
      <c r="I4" s="5" t="s">
        <v>40</v>
      </c>
    </row>
    <row r="5" spans="1:9" x14ac:dyDescent="0.25">
      <c r="A5" s="10">
        <v>43315</v>
      </c>
      <c r="B5" s="5" t="s">
        <v>26</v>
      </c>
      <c r="C5" s="5">
        <v>-12</v>
      </c>
      <c r="D5" s="5">
        <f t="shared" ref="D5:D68" si="0">C5/8</f>
        <v>-1.5</v>
      </c>
      <c r="I5" s="5" t="s">
        <v>72</v>
      </c>
    </row>
    <row r="6" spans="1:9" x14ac:dyDescent="0.25">
      <c r="A6" s="10">
        <v>43322</v>
      </c>
      <c r="B6" s="5" t="s">
        <v>58</v>
      </c>
      <c r="C6" s="5">
        <v>-2</v>
      </c>
      <c r="D6" s="5">
        <f t="shared" si="0"/>
        <v>-0.25</v>
      </c>
    </row>
    <row r="7" spans="1:9" x14ac:dyDescent="0.25">
      <c r="A7" s="10">
        <v>43329</v>
      </c>
      <c r="B7" s="5" t="s">
        <v>58</v>
      </c>
      <c r="C7" s="5">
        <v>-4</v>
      </c>
      <c r="D7" s="5">
        <f t="shared" si="0"/>
        <v>-0.5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43381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43412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43513</v>
      </c>
      <c r="B13" s="5" t="s">
        <v>26</v>
      </c>
      <c r="C13" s="5">
        <v>0.5</v>
      </c>
      <c r="D13" s="5">
        <f t="shared" si="0"/>
        <v>6.25E-2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43550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43570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43572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5" sqref="A25:XFD25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43255</v>
      </c>
      <c r="B4" s="5" t="s">
        <v>26</v>
      </c>
      <c r="C4" s="5">
        <v>60</v>
      </c>
      <c r="D4" s="5">
        <f>C4/8</f>
        <v>7.5</v>
      </c>
      <c r="I4" s="5" t="s">
        <v>27</v>
      </c>
    </row>
    <row r="5" spans="1:9" x14ac:dyDescent="0.25">
      <c r="A5" s="10">
        <v>43305</v>
      </c>
      <c r="B5" s="5" t="s">
        <v>58</v>
      </c>
      <c r="C5" s="5">
        <v>-15</v>
      </c>
      <c r="D5" s="5">
        <f t="shared" ref="D5:D68" si="0">C5/8</f>
        <v>-1.875</v>
      </c>
      <c r="I5" s="5" t="s">
        <v>59</v>
      </c>
    </row>
    <row r="6" spans="1:9" x14ac:dyDescent="0.25">
      <c r="A6" s="10">
        <v>43315</v>
      </c>
      <c r="B6" s="5" t="s">
        <v>26</v>
      </c>
      <c r="C6" s="5">
        <v>-3</v>
      </c>
      <c r="D6" s="5">
        <f t="shared" si="0"/>
        <v>-0.375</v>
      </c>
      <c r="I6" s="5" t="s">
        <v>72</v>
      </c>
    </row>
    <row r="7" spans="1:9" x14ac:dyDescent="0.25">
      <c r="A7" s="10">
        <v>43322</v>
      </c>
      <c r="B7" s="5" t="s">
        <v>58</v>
      </c>
      <c r="C7" s="5">
        <v>-4</v>
      </c>
      <c r="D7" s="5">
        <f t="shared" si="0"/>
        <v>-0.5</v>
      </c>
    </row>
    <row r="8" spans="1:9" x14ac:dyDescent="0.25">
      <c r="A8" s="10">
        <v>43329</v>
      </c>
      <c r="B8" s="5" t="s">
        <v>58</v>
      </c>
      <c r="C8" s="5">
        <v>0.25</v>
      </c>
      <c r="D8" s="5">
        <f t="shared" si="0"/>
        <v>3.125E-2</v>
      </c>
    </row>
    <row r="9" spans="1:9" x14ac:dyDescent="0.25">
      <c r="A9" s="10">
        <v>43332</v>
      </c>
      <c r="B9" s="5" t="s">
        <v>79</v>
      </c>
      <c r="C9" s="5">
        <v>-15.2</v>
      </c>
      <c r="D9" s="5">
        <f t="shared" si="0"/>
        <v>-1.9</v>
      </c>
    </row>
    <row r="10" spans="1:9" x14ac:dyDescent="0.25">
      <c r="A10" s="10">
        <v>43364</v>
      </c>
      <c r="B10" s="5" t="s">
        <v>80</v>
      </c>
      <c r="C10" s="5">
        <v>1</v>
      </c>
      <c r="D10" s="5">
        <f t="shared" si="0"/>
        <v>0.125</v>
      </c>
    </row>
    <row r="11" spans="1:9" x14ac:dyDescent="0.25">
      <c r="A11" s="10">
        <v>43369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43381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43382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43418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43413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43474</v>
      </c>
      <c r="B16" s="5" t="s">
        <v>80</v>
      </c>
      <c r="C16" s="5">
        <v>0.25</v>
      </c>
      <c r="D16" s="5">
        <f t="shared" si="0"/>
        <v>3.125E-2</v>
      </c>
    </row>
    <row r="17" spans="1:4" x14ac:dyDescent="0.25">
      <c r="A17" s="10">
        <v>43513</v>
      </c>
      <c r="B17" s="5" t="s">
        <v>26</v>
      </c>
      <c r="C17" s="5">
        <v>0.5</v>
      </c>
      <c r="D17" s="5">
        <f t="shared" si="0"/>
        <v>6.25E-2</v>
      </c>
    </row>
    <row r="18" spans="1:4" x14ac:dyDescent="0.25">
      <c r="A18" s="10">
        <v>43523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43536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43549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43550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A22" s="10">
        <v>43564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43566</v>
      </c>
      <c r="B23" s="5" t="s">
        <v>26</v>
      </c>
      <c r="C23" s="5">
        <v>0.5</v>
      </c>
      <c r="D23" s="5">
        <f t="shared" si="0"/>
        <v>6.25E-2</v>
      </c>
    </row>
    <row r="24" spans="1:4" x14ac:dyDescent="0.25">
      <c r="A24" s="10">
        <v>43570</v>
      </c>
      <c r="B24" s="5" t="s">
        <v>88</v>
      </c>
      <c r="C24" s="5">
        <v>0.5</v>
      </c>
      <c r="D24" s="5">
        <f t="shared" si="0"/>
        <v>6.25E-2</v>
      </c>
    </row>
    <row r="25" spans="1:4" x14ac:dyDescent="0.25">
      <c r="A25" s="10">
        <v>43572</v>
      </c>
      <c r="B25" s="5" t="s">
        <v>88</v>
      </c>
      <c r="C25" s="5">
        <v>0.5</v>
      </c>
      <c r="D25" s="5">
        <f t="shared" si="0"/>
        <v>6.25E-2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18" sqref="A18:XFD18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43315</v>
      </c>
      <c r="B5" s="5" t="s">
        <v>26</v>
      </c>
      <c r="C5" s="5">
        <v>72</v>
      </c>
      <c r="D5" s="5">
        <f t="shared" si="0"/>
        <v>9</v>
      </c>
    </row>
    <row r="6" spans="1:9" x14ac:dyDescent="0.25">
      <c r="A6" s="10">
        <v>43322</v>
      </c>
      <c r="B6" s="5" t="s">
        <v>58</v>
      </c>
      <c r="C6" s="5">
        <v>16</v>
      </c>
      <c r="D6" s="5">
        <f t="shared" si="0"/>
        <v>2</v>
      </c>
    </row>
    <row r="7" spans="1:9" x14ac:dyDescent="0.25">
      <c r="A7" s="10">
        <v>43329</v>
      </c>
      <c r="B7" s="5" t="s">
        <v>58</v>
      </c>
      <c r="C7" s="5">
        <v>8</v>
      </c>
      <c r="D7" s="5">
        <f t="shared" si="0"/>
        <v>1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43381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43412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43418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43564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43566</v>
      </c>
      <c r="B16" s="5" t="s">
        <v>26</v>
      </c>
      <c r="C16" s="5">
        <v>0.25</v>
      </c>
      <c r="D16" s="5">
        <f t="shared" si="0"/>
        <v>3.125E-2</v>
      </c>
    </row>
    <row r="17" spans="1:4" x14ac:dyDescent="0.25">
      <c r="A17" s="10">
        <v>43570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43572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ht="13.5" customHeight="1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tabSelected="1" workbookViewId="0">
      <selection activeCell="G17" sqref="G17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43315</v>
      </c>
      <c r="B5" s="5" t="s">
        <v>26</v>
      </c>
      <c r="C5" s="5">
        <v>80</v>
      </c>
      <c r="D5" s="5">
        <f t="shared" si="0"/>
        <v>10</v>
      </c>
      <c r="I5" s="5" t="s">
        <v>72</v>
      </c>
    </row>
    <row r="6" spans="1:9" x14ac:dyDescent="0.25">
      <c r="A6" s="10">
        <v>43322</v>
      </c>
      <c r="B6" s="5" t="s">
        <v>58</v>
      </c>
      <c r="C6" s="5">
        <v>8</v>
      </c>
      <c r="D6" s="5">
        <f t="shared" si="0"/>
        <v>1</v>
      </c>
    </row>
    <row r="7" spans="1:9" x14ac:dyDescent="0.25">
      <c r="A7" s="10">
        <v>43329</v>
      </c>
      <c r="B7" s="5" t="s">
        <v>58</v>
      </c>
      <c r="C7" s="5">
        <v>4</v>
      </c>
      <c r="D7" s="5">
        <f t="shared" si="0"/>
        <v>0.5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43382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43413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43523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43550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43566</v>
      </c>
      <c r="B20" s="5" t="s">
        <v>26</v>
      </c>
      <c r="C20" s="5">
        <v>0.5</v>
      </c>
      <c r="D20" s="5">
        <f t="shared" si="0"/>
        <v>6.25E-2</v>
      </c>
    </row>
    <row r="21" spans="1:4" x14ac:dyDescent="0.25">
      <c r="A21" s="10">
        <v>43570</v>
      </c>
      <c r="B21" s="5" t="s">
        <v>88</v>
      </c>
      <c r="C21" s="5">
        <v>0.5</v>
      </c>
      <c r="D21" s="5">
        <f t="shared" ref="D21:D22" si="1">C21/8</f>
        <v>6.25E-2</v>
      </c>
    </row>
    <row r="22" spans="1:4" x14ac:dyDescent="0.25">
      <c r="A22" s="10">
        <v>43572</v>
      </c>
      <c r="B22" s="5" t="s">
        <v>88</v>
      </c>
      <c r="C22" s="5">
        <v>0.5</v>
      </c>
      <c r="D22" s="5">
        <f t="shared" si="1"/>
        <v>6.25E-2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2">C68/8</f>
        <v>0</v>
      </c>
    </row>
    <row r="69" spans="4:4" x14ac:dyDescent="0.25">
      <c r="D69" s="5">
        <f t="shared" si="2"/>
        <v>0</v>
      </c>
    </row>
    <row r="70" spans="4:4" x14ac:dyDescent="0.25">
      <c r="D70" s="5">
        <f t="shared" si="2"/>
        <v>0</v>
      </c>
    </row>
    <row r="71" spans="4:4" x14ac:dyDescent="0.25">
      <c r="D71" s="5">
        <f t="shared" si="2"/>
        <v>0</v>
      </c>
    </row>
    <row r="72" spans="4:4" x14ac:dyDescent="0.25">
      <c r="D72" s="5">
        <f t="shared" si="2"/>
        <v>0</v>
      </c>
    </row>
    <row r="73" spans="4:4" x14ac:dyDescent="0.25">
      <c r="D73" s="5">
        <f t="shared" si="2"/>
        <v>0</v>
      </c>
    </row>
    <row r="74" spans="4:4" x14ac:dyDescent="0.25">
      <c r="D74" s="5">
        <f t="shared" si="2"/>
        <v>0</v>
      </c>
    </row>
    <row r="75" spans="4:4" x14ac:dyDescent="0.25">
      <c r="D75" s="5">
        <f t="shared" si="2"/>
        <v>0</v>
      </c>
    </row>
    <row r="76" spans="4:4" x14ac:dyDescent="0.25">
      <c r="D76" s="5">
        <f t="shared" si="2"/>
        <v>0</v>
      </c>
    </row>
    <row r="77" spans="4:4" x14ac:dyDescent="0.25">
      <c r="D77" s="5">
        <f t="shared" si="2"/>
        <v>0</v>
      </c>
    </row>
    <row r="78" spans="4:4" x14ac:dyDescent="0.25">
      <c r="D78" s="5">
        <f t="shared" si="2"/>
        <v>0</v>
      </c>
    </row>
    <row r="79" spans="4:4" x14ac:dyDescent="0.25">
      <c r="D79" s="5">
        <f t="shared" si="2"/>
        <v>0</v>
      </c>
    </row>
  </sheetData>
  <mergeCells count="1">
    <mergeCell ref="A1:B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67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43313</v>
      </c>
      <c r="B5" s="5" t="s">
        <v>58</v>
      </c>
      <c r="C5" s="5">
        <v>48</v>
      </c>
      <c r="D5" s="5">
        <f t="shared" si="0"/>
        <v>6</v>
      </c>
      <c r="I5" s="5" t="s">
        <v>68</v>
      </c>
    </row>
    <row r="6" spans="1:9" x14ac:dyDescent="0.25">
      <c r="A6" s="10">
        <v>43315</v>
      </c>
      <c r="B6" s="5" t="s">
        <v>26</v>
      </c>
      <c r="C6" s="5">
        <v>16</v>
      </c>
      <c r="D6" s="5">
        <f t="shared" si="0"/>
        <v>2</v>
      </c>
      <c r="I6" s="5" t="s">
        <v>72</v>
      </c>
    </row>
    <row r="7" spans="1:9" x14ac:dyDescent="0.25">
      <c r="A7" s="10">
        <v>43321</v>
      </c>
      <c r="B7" s="5" t="s">
        <v>58</v>
      </c>
      <c r="C7" s="5">
        <v>18</v>
      </c>
      <c r="D7" s="5">
        <f t="shared" si="0"/>
        <v>2.25</v>
      </c>
      <c r="I7" s="5" t="s">
        <v>72</v>
      </c>
    </row>
    <row r="8" spans="1:9" x14ac:dyDescent="0.25">
      <c r="A8" s="10">
        <v>43329</v>
      </c>
      <c r="B8" s="5" t="s">
        <v>58</v>
      </c>
      <c r="C8" s="5">
        <v>4</v>
      </c>
      <c r="D8" s="5">
        <f t="shared" si="0"/>
        <v>0.5</v>
      </c>
    </row>
    <row r="9" spans="1:9" x14ac:dyDescent="0.25">
      <c r="A9" s="10">
        <v>43332</v>
      </c>
      <c r="B9" s="5" t="s">
        <v>79</v>
      </c>
      <c r="C9" s="5">
        <v>-15.2</v>
      </c>
      <c r="D9" s="5">
        <f t="shared" si="0"/>
        <v>-1.9</v>
      </c>
    </row>
    <row r="10" spans="1:9" x14ac:dyDescent="0.25">
      <c r="A10" s="10">
        <v>43363</v>
      </c>
      <c r="B10" s="5" t="s">
        <v>26</v>
      </c>
      <c r="C10" s="5">
        <v>1</v>
      </c>
      <c r="D10" s="5">
        <f t="shared" si="0"/>
        <v>0.125</v>
      </c>
    </row>
    <row r="11" spans="1:9" x14ac:dyDescent="0.25">
      <c r="A11" s="10">
        <v>43369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43412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43418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43474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43550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0.5</v>
      </c>
      <c r="D21" s="5">
        <f t="shared" si="0"/>
        <v>6.25E-2</v>
      </c>
    </row>
    <row r="22" spans="1:4" x14ac:dyDescent="0.25">
      <c r="A22" s="10">
        <v>43570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A23" s="10">
        <v>43572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68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108</v>
      </c>
      <c r="D4" s="5">
        <f t="shared" ref="D4:D67" si="0">C4/8</f>
        <v>13.5</v>
      </c>
    </row>
    <row r="5" spans="1:9" x14ac:dyDescent="0.25">
      <c r="A5" s="10">
        <v>43322</v>
      </c>
      <c r="B5" s="5" t="s">
        <v>58</v>
      </c>
      <c r="C5" s="5">
        <v>80</v>
      </c>
      <c r="D5" s="5">
        <f t="shared" si="0"/>
        <v>10</v>
      </c>
    </row>
    <row r="6" spans="1:9" x14ac:dyDescent="0.25">
      <c r="A6" s="10">
        <v>43329</v>
      </c>
      <c r="B6" s="5" t="s">
        <v>58</v>
      </c>
      <c r="C6" s="5">
        <v>4</v>
      </c>
      <c r="D6" s="5">
        <f t="shared" si="0"/>
        <v>0.5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43364</v>
      </c>
      <c r="B8" s="5" t="s">
        <v>80</v>
      </c>
      <c r="C8" s="5">
        <v>1</v>
      </c>
      <c r="D8" s="5">
        <f t="shared" si="0"/>
        <v>0.125</v>
      </c>
    </row>
    <row r="9" spans="1:9" x14ac:dyDescent="0.25">
      <c r="A9" s="10">
        <v>43369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43381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43418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43474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43550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0.5</v>
      </c>
      <c r="D19" s="5">
        <f t="shared" si="0"/>
        <v>6.25E-2</v>
      </c>
    </row>
    <row r="20" spans="1:4" x14ac:dyDescent="0.25">
      <c r="A20" s="10">
        <v>43570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43572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2" sqref="A22:XFD2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69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43313</v>
      </c>
      <c r="B5" s="5" t="s">
        <v>58</v>
      </c>
      <c r="C5" s="5">
        <v>42</v>
      </c>
      <c r="D5" s="5">
        <f t="shared" si="0"/>
        <v>5.25</v>
      </c>
      <c r="I5" s="5" t="s">
        <v>70</v>
      </c>
    </row>
    <row r="6" spans="1:9" x14ac:dyDescent="0.25">
      <c r="A6" s="10">
        <v>43329</v>
      </c>
      <c r="B6" s="5" t="s">
        <v>58</v>
      </c>
      <c r="C6" s="5">
        <v>36</v>
      </c>
      <c r="D6" s="5">
        <f t="shared" si="0"/>
        <v>4.5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43333</v>
      </c>
      <c r="B8" s="5" t="s">
        <v>58</v>
      </c>
      <c r="C8" s="5">
        <v>0.5</v>
      </c>
      <c r="D8" s="5">
        <f t="shared" si="0"/>
        <v>6.25E-2</v>
      </c>
    </row>
    <row r="9" spans="1:9" x14ac:dyDescent="0.25">
      <c r="A9" s="10">
        <v>43363</v>
      </c>
      <c r="B9" s="5" t="s">
        <v>26</v>
      </c>
      <c r="C9" s="5">
        <v>1</v>
      </c>
      <c r="D9" s="5">
        <f t="shared" si="0"/>
        <v>0.125</v>
      </c>
      <c r="I9" s="5" t="s">
        <v>82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  <c r="I10" s="5" t="s">
        <v>84</v>
      </c>
    </row>
    <row r="11" spans="1:9" x14ac:dyDescent="0.25">
      <c r="A11" s="10">
        <v>43377</v>
      </c>
      <c r="B11" s="5" t="s">
        <v>26</v>
      </c>
      <c r="C11" s="5">
        <v>0.25</v>
      </c>
      <c r="D11" s="5">
        <f t="shared" si="0"/>
        <v>3.125E-2</v>
      </c>
    </row>
    <row r="12" spans="1:9" x14ac:dyDescent="0.25">
      <c r="A12" s="10">
        <v>43411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43474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43497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0.25</v>
      </c>
      <c r="D17" s="5">
        <f t="shared" ref="D17" si="1">C17/8</f>
        <v>3.125E-2</v>
      </c>
    </row>
    <row r="18" spans="1:4" x14ac:dyDescent="0.25">
      <c r="A18" s="10">
        <v>43550</v>
      </c>
      <c r="B18" s="5" t="s">
        <v>88</v>
      </c>
      <c r="C18" s="5">
        <v>0.25</v>
      </c>
      <c r="D18" s="5">
        <f t="shared" ref="D18:D22" si="2">C18/8</f>
        <v>3.125E-2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si="2"/>
        <v>3.125E-2</v>
      </c>
    </row>
    <row r="20" spans="1:4" x14ac:dyDescent="0.25">
      <c r="A20" s="10">
        <v>43566</v>
      </c>
      <c r="B20" s="5" t="s">
        <v>26</v>
      </c>
      <c r="C20" s="5">
        <v>0.5</v>
      </c>
      <c r="D20" s="5">
        <f t="shared" si="2"/>
        <v>6.25E-2</v>
      </c>
    </row>
    <row r="21" spans="1:4" x14ac:dyDescent="0.25">
      <c r="A21" s="10">
        <v>43570</v>
      </c>
      <c r="B21" s="5" t="s">
        <v>88</v>
      </c>
      <c r="C21" s="5">
        <v>0.25</v>
      </c>
      <c r="D21" s="5">
        <f t="shared" si="2"/>
        <v>3.125E-2</v>
      </c>
    </row>
    <row r="22" spans="1:4" x14ac:dyDescent="0.25">
      <c r="A22" s="10">
        <v>43572</v>
      </c>
      <c r="B22" s="5" t="s">
        <v>88</v>
      </c>
      <c r="C22" s="5">
        <v>0.5</v>
      </c>
      <c r="D22" s="5">
        <f t="shared" si="2"/>
        <v>6.25E-2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3">C68/8</f>
        <v>0</v>
      </c>
    </row>
    <row r="69" spans="4:4" x14ac:dyDescent="0.25">
      <c r="D69" s="5">
        <f t="shared" si="3"/>
        <v>0</v>
      </c>
    </row>
    <row r="70" spans="4:4" x14ac:dyDescent="0.25">
      <c r="D70" s="5">
        <f t="shared" si="3"/>
        <v>0</v>
      </c>
    </row>
    <row r="71" spans="4:4" x14ac:dyDescent="0.25">
      <c r="D71" s="5">
        <f t="shared" si="3"/>
        <v>0</v>
      </c>
    </row>
    <row r="72" spans="4:4" x14ac:dyDescent="0.25">
      <c r="D72" s="5">
        <f t="shared" si="3"/>
        <v>0</v>
      </c>
    </row>
    <row r="73" spans="4:4" x14ac:dyDescent="0.25">
      <c r="D73" s="5">
        <f t="shared" si="3"/>
        <v>0</v>
      </c>
    </row>
    <row r="74" spans="4:4" x14ac:dyDescent="0.25">
      <c r="D74" s="5">
        <f t="shared" si="3"/>
        <v>0</v>
      </c>
    </row>
    <row r="75" spans="4:4" x14ac:dyDescent="0.25">
      <c r="D75" s="5">
        <f t="shared" si="3"/>
        <v>0</v>
      </c>
    </row>
    <row r="76" spans="4:4" x14ac:dyDescent="0.25">
      <c r="D76" s="5">
        <f t="shared" si="3"/>
        <v>0</v>
      </c>
    </row>
    <row r="77" spans="4:4" x14ac:dyDescent="0.25">
      <c r="D77" s="5">
        <f t="shared" si="3"/>
        <v>0</v>
      </c>
    </row>
    <row r="78" spans="4:4" x14ac:dyDescent="0.25">
      <c r="D78" s="5">
        <f t="shared" si="3"/>
        <v>0</v>
      </c>
    </row>
    <row r="79" spans="4:4" x14ac:dyDescent="0.25">
      <c r="D79" s="5">
        <f t="shared" si="3"/>
        <v>0</v>
      </c>
    </row>
  </sheetData>
  <mergeCells count="1">
    <mergeCell ref="A1:B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2" sqref="A22:XFD2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70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43315</v>
      </c>
      <c r="B5" s="5" t="s">
        <v>26</v>
      </c>
      <c r="C5" s="5">
        <v>64</v>
      </c>
      <c r="D5" s="5">
        <f t="shared" si="0"/>
        <v>8</v>
      </c>
      <c r="I5" s="5" t="s">
        <v>74</v>
      </c>
    </row>
    <row r="6" spans="1:9" x14ac:dyDescent="0.25">
      <c r="A6" s="10">
        <v>43322</v>
      </c>
      <c r="B6" s="5" t="s">
        <v>58</v>
      </c>
      <c r="C6" s="5">
        <v>6</v>
      </c>
      <c r="D6" s="5">
        <f t="shared" si="0"/>
        <v>0.75</v>
      </c>
    </row>
    <row r="7" spans="1:9" x14ac:dyDescent="0.25">
      <c r="A7" s="10">
        <v>43329</v>
      </c>
      <c r="B7" s="5" t="s">
        <v>58</v>
      </c>
      <c r="C7" s="5">
        <v>8</v>
      </c>
      <c r="D7" s="5">
        <f t="shared" si="0"/>
        <v>1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43381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43412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43418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43550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43566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43570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43572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15" sqref="A15:XFD15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43315</v>
      </c>
      <c r="B5" s="5" t="s">
        <v>26</v>
      </c>
      <c r="C5" s="5">
        <v>72</v>
      </c>
      <c r="D5" s="5">
        <f t="shared" si="0"/>
        <v>9</v>
      </c>
      <c r="I5" s="5" t="s">
        <v>73</v>
      </c>
    </row>
    <row r="6" spans="1:9" x14ac:dyDescent="0.25">
      <c r="A6" s="10">
        <v>43322</v>
      </c>
      <c r="B6" s="5" t="s">
        <v>58</v>
      </c>
      <c r="C6" s="5">
        <v>4</v>
      </c>
      <c r="D6" s="5">
        <f t="shared" si="0"/>
        <v>0.5</v>
      </c>
    </row>
    <row r="7" spans="1:9" x14ac:dyDescent="0.25">
      <c r="A7" s="10">
        <v>43329</v>
      </c>
      <c r="B7" s="5" t="s">
        <v>58</v>
      </c>
      <c r="C7" s="5">
        <v>4</v>
      </c>
      <c r="D7" s="5">
        <f t="shared" si="0"/>
        <v>0.5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2</v>
      </c>
      <c r="D10" s="5">
        <f t="shared" si="0"/>
        <v>0.25</v>
      </c>
    </row>
    <row r="11" spans="1:9" x14ac:dyDescent="0.25">
      <c r="A11" s="10">
        <v>43382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43413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43564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43566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43312</v>
      </c>
      <c r="B5" s="5" t="s">
        <v>58</v>
      </c>
      <c r="C5" s="5">
        <v>48</v>
      </c>
      <c r="D5" s="5">
        <f t="shared" si="0"/>
        <v>6</v>
      </c>
    </row>
    <row r="6" spans="1:9" x14ac:dyDescent="0.25">
      <c r="A6" s="10">
        <v>43321</v>
      </c>
      <c r="B6" s="5" t="s">
        <v>58</v>
      </c>
      <c r="C6" s="5">
        <v>12</v>
      </c>
      <c r="D6" s="5">
        <f t="shared" si="0"/>
        <v>1.5</v>
      </c>
      <c r="I6" s="5" t="s">
        <v>76</v>
      </c>
    </row>
    <row r="7" spans="1:9" x14ac:dyDescent="0.25">
      <c r="A7" s="10">
        <v>43329</v>
      </c>
      <c r="B7" s="5" t="s">
        <v>58</v>
      </c>
      <c r="C7" s="5">
        <v>8</v>
      </c>
      <c r="D7" s="5">
        <f t="shared" si="0"/>
        <v>1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43333</v>
      </c>
      <c r="B9" s="5" t="s">
        <v>58</v>
      </c>
      <c r="C9" s="5">
        <v>0.5</v>
      </c>
      <c r="D9" s="5">
        <f t="shared" si="0"/>
        <v>6.25E-2</v>
      </c>
    </row>
    <row r="10" spans="1:9" x14ac:dyDescent="0.25">
      <c r="A10" s="10">
        <v>43363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43369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43377</v>
      </c>
      <c r="B12" s="5" t="s">
        <v>26</v>
      </c>
      <c r="C12" s="5">
        <v>0.25</v>
      </c>
      <c r="D12" s="5">
        <f t="shared" si="0"/>
        <v>3.125E-2</v>
      </c>
    </row>
    <row r="13" spans="1:9" x14ac:dyDescent="0.25">
      <c r="A13" s="10">
        <v>43418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43475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43497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43513</v>
      </c>
      <c r="B16" s="5" t="s">
        <v>26</v>
      </c>
      <c r="C16" s="5">
        <v>0.25</v>
      </c>
      <c r="D16" s="5">
        <f t="shared" si="0"/>
        <v>3.125E-2</v>
      </c>
    </row>
    <row r="17" spans="1:4" x14ac:dyDescent="0.25">
      <c r="A17" s="10">
        <v>43520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43536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43549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43313</v>
      </c>
      <c r="B5" s="5" t="s">
        <v>58</v>
      </c>
      <c r="C5" s="5">
        <v>56</v>
      </c>
      <c r="D5" s="5">
        <f t="shared" si="0"/>
        <v>7</v>
      </c>
      <c r="I5" s="5" t="s">
        <v>69</v>
      </c>
    </row>
    <row r="6" spans="1:9" x14ac:dyDescent="0.25">
      <c r="A6" s="10">
        <v>43321</v>
      </c>
      <c r="B6" s="5" t="s">
        <v>58</v>
      </c>
      <c r="C6" s="5">
        <v>36</v>
      </c>
      <c r="D6" s="5">
        <f t="shared" si="0"/>
        <v>4.5</v>
      </c>
      <c r="I6" s="5" t="s">
        <v>69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43363</v>
      </c>
      <c r="B8" s="5" t="s">
        <v>26</v>
      </c>
      <c r="C8" s="5">
        <v>-12</v>
      </c>
      <c r="D8" s="5">
        <f t="shared" si="0"/>
        <v>-1.5</v>
      </c>
    </row>
    <row r="9" spans="1:9" x14ac:dyDescent="0.25">
      <c r="A9" s="10">
        <v>43369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43378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43412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43418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0.5</v>
      </c>
      <c r="D13" s="5">
        <f t="shared" si="0"/>
        <v>6.25E-2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43550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0.5</v>
      </c>
      <c r="D19" s="5">
        <f t="shared" si="0"/>
        <v>6.25E-2</v>
      </c>
    </row>
    <row r="20" spans="1:4" x14ac:dyDescent="0.25">
      <c r="A20" s="10">
        <v>43570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A21" s="10">
        <v>43572</v>
      </c>
      <c r="B21" s="5" t="s">
        <v>88</v>
      </c>
      <c r="C21" s="5">
        <v>0.5</v>
      </c>
      <c r="D21" s="5">
        <f t="shared" si="0"/>
        <v>6.25E-2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0" sqref="A20:XFD20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100</v>
      </c>
      <c r="D4" s="5">
        <f t="shared" ref="D4:D67" si="0">C4/8</f>
        <v>12.5</v>
      </c>
    </row>
    <row r="5" spans="1:9" x14ac:dyDescent="0.25">
      <c r="A5" s="10">
        <v>43322</v>
      </c>
      <c r="B5" s="5" t="s">
        <v>58</v>
      </c>
      <c r="C5" s="5">
        <v>-42</v>
      </c>
      <c r="D5" s="5">
        <f t="shared" si="0"/>
        <v>-5.25</v>
      </c>
    </row>
    <row r="6" spans="1:9" x14ac:dyDescent="0.25">
      <c r="A6" s="10">
        <v>43329</v>
      </c>
      <c r="B6" s="5" t="s">
        <v>58</v>
      </c>
      <c r="C6" s="5">
        <v>1</v>
      </c>
      <c r="D6" s="5">
        <f t="shared" si="0"/>
        <v>0.125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43364</v>
      </c>
      <c r="B8" s="5" t="s">
        <v>80</v>
      </c>
      <c r="C8" s="5">
        <v>1</v>
      </c>
      <c r="D8" s="5">
        <f t="shared" si="0"/>
        <v>0.125</v>
      </c>
    </row>
    <row r="9" spans="1:9" x14ac:dyDescent="0.25">
      <c r="A9" s="10">
        <v>43369</v>
      </c>
      <c r="B9" s="5" t="s">
        <v>26</v>
      </c>
      <c r="C9" s="5">
        <v>0.5</v>
      </c>
      <c r="D9" s="5">
        <f t="shared" si="0"/>
        <v>6.25E-2</v>
      </c>
    </row>
    <row r="10" spans="1:9" x14ac:dyDescent="0.25">
      <c r="A10" s="10">
        <v>43381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43382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43474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0.5</v>
      </c>
      <c r="D13" s="5">
        <f t="shared" si="0"/>
        <v>6.25E-2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43550</v>
      </c>
      <c r="B17" s="5" t="s">
        <v>88</v>
      </c>
      <c r="C17" s="5">
        <v>0.5</v>
      </c>
      <c r="D17" s="5">
        <f t="shared" si="0"/>
        <v>6.25E-2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0.5</v>
      </c>
      <c r="D19" s="5">
        <f t="shared" si="0"/>
        <v>6.25E-2</v>
      </c>
    </row>
    <row r="20" spans="1:4" x14ac:dyDescent="0.25">
      <c r="A20" s="10">
        <v>43570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90</v>
      </c>
      <c r="D4" s="5">
        <f t="shared" ref="D4:D67" si="0">C4/8</f>
        <v>11.25</v>
      </c>
    </row>
    <row r="5" spans="1:9" x14ac:dyDescent="0.25">
      <c r="A5" s="10">
        <v>43312</v>
      </c>
      <c r="B5" s="5" t="s">
        <v>58</v>
      </c>
      <c r="C5" s="5">
        <v>44</v>
      </c>
      <c r="D5" s="5">
        <f t="shared" si="0"/>
        <v>5.5</v>
      </c>
    </row>
    <row r="6" spans="1:9" x14ac:dyDescent="0.25">
      <c r="A6" s="10">
        <v>43326</v>
      </c>
      <c r="B6" s="5" t="s">
        <v>58</v>
      </c>
      <c r="C6" s="5">
        <v>4</v>
      </c>
      <c r="D6" s="5">
        <f t="shared" si="0"/>
        <v>0.5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43333</v>
      </c>
      <c r="B8" s="5" t="s">
        <v>58</v>
      </c>
      <c r="C8" s="5">
        <v>8</v>
      </c>
      <c r="D8" s="5">
        <f t="shared" si="0"/>
        <v>1</v>
      </c>
    </row>
    <row r="9" spans="1:9" x14ac:dyDescent="0.25">
      <c r="A9" s="10">
        <v>43363</v>
      </c>
      <c r="B9" s="5" t="s">
        <v>26</v>
      </c>
      <c r="C9" s="5">
        <v>6</v>
      </c>
      <c r="D9" s="5">
        <f t="shared" si="0"/>
        <v>0.75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43376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43406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43418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43475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43496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43497</v>
      </c>
      <c r="B16" s="5" t="s">
        <v>80</v>
      </c>
      <c r="C16" s="5">
        <v>0.25</v>
      </c>
      <c r="D16" s="5">
        <f t="shared" si="0"/>
        <v>3.125E-2</v>
      </c>
    </row>
    <row r="17" spans="1:4" x14ac:dyDescent="0.25">
      <c r="A17" s="10">
        <v>43520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43536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43549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0" sqref="A20:XFD20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43252</v>
      </c>
      <c r="B4" s="5" t="s">
        <v>26</v>
      </c>
      <c r="C4" s="5">
        <v>105</v>
      </c>
      <c r="D4" s="5">
        <f t="shared" ref="D4:D67" si="0">C4/8</f>
        <v>13.125</v>
      </c>
      <c r="I4" s="5" t="s">
        <v>28</v>
      </c>
    </row>
    <row r="5" spans="1:9" x14ac:dyDescent="0.25">
      <c r="A5" s="10">
        <v>43313</v>
      </c>
      <c r="B5" s="5" t="s">
        <v>58</v>
      </c>
      <c r="C5" s="5">
        <v>44</v>
      </c>
      <c r="D5" s="5">
        <f t="shared" si="0"/>
        <v>5.5</v>
      </c>
      <c r="I5" s="5" t="s">
        <v>69</v>
      </c>
    </row>
    <row r="6" spans="1:9" x14ac:dyDescent="0.25">
      <c r="A6" s="10">
        <v>43321</v>
      </c>
      <c r="B6" s="5" t="s">
        <v>58</v>
      </c>
      <c r="C6" s="5">
        <v>32</v>
      </c>
      <c r="D6" s="5">
        <f t="shared" si="0"/>
        <v>4</v>
      </c>
      <c r="I6" s="5" t="s">
        <v>69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43333</v>
      </c>
      <c r="B8" s="5" t="s">
        <v>58</v>
      </c>
      <c r="C8" s="5">
        <v>-10</v>
      </c>
      <c r="D8" s="5">
        <f t="shared" si="0"/>
        <v>-1.25</v>
      </c>
    </row>
    <row r="9" spans="1:9" x14ac:dyDescent="0.25">
      <c r="A9" s="10">
        <v>43377</v>
      </c>
      <c r="B9" s="5" t="s">
        <v>26</v>
      </c>
      <c r="C9" s="5">
        <v>0.25</v>
      </c>
      <c r="D9" s="5">
        <f t="shared" si="0"/>
        <v>3.125E-2</v>
      </c>
    </row>
    <row r="10" spans="1:9" x14ac:dyDescent="0.25">
      <c r="A10" s="10">
        <v>43411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43418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43513</v>
      </c>
      <c r="B12" s="5" t="s">
        <v>26</v>
      </c>
      <c r="C12" s="5">
        <v>0.5</v>
      </c>
      <c r="D12" s="5">
        <f t="shared" si="0"/>
        <v>6.25E-2</v>
      </c>
    </row>
    <row r="13" spans="1:9" x14ac:dyDescent="0.25">
      <c r="A13" s="10">
        <v>43520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43536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43549</v>
      </c>
      <c r="B15" s="5" t="s">
        <v>88</v>
      </c>
      <c r="C15" s="5">
        <v>0.5</v>
      </c>
      <c r="D15" s="5">
        <f t="shared" si="0"/>
        <v>6.25E-2</v>
      </c>
    </row>
    <row r="16" spans="1:9" x14ac:dyDescent="0.25">
      <c r="A16" s="10">
        <v>43550</v>
      </c>
      <c r="B16" s="5" t="s">
        <v>88</v>
      </c>
      <c r="C16" s="5">
        <v>0.5</v>
      </c>
      <c r="D16" s="5">
        <f t="shared" si="0"/>
        <v>6.25E-2</v>
      </c>
    </row>
    <row r="17" spans="1:4" x14ac:dyDescent="0.25">
      <c r="A17" s="10">
        <v>43564</v>
      </c>
      <c r="B17" s="5" t="s">
        <v>26</v>
      </c>
      <c r="C17" s="5">
        <v>0.25</v>
      </c>
      <c r="D17" s="5">
        <f t="shared" si="0"/>
        <v>3.125E-2</v>
      </c>
    </row>
    <row r="18" spans="1:4" x14ac:dyDescent="0.25">
      <c r="A18" s="10">
        <v>43566</v>
      </c>
      <c r="B18" s="5" t="s">
        <v>26</v>
      </c>
      <c r="C18" s="5">
        <v>0.5</v>
      </c>
      <c r="D18" s="5">
        <f t="shared" si="0"/>
        <v>6.25E-2</v>
      </c>
    </row>
    <row r="19" spans="1:4" x14ac:dyDescent="0.25">
      <c r="A19" s="10">
        <v>43570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43572</v>
      </c>
      <c r="B20" s="5" t="s">
        <v>88</v>
      </c>
      <c r="C20" s="5">
        <v>0.5</v>
      </c>
      <c r="D20" s="5">
        <f t="shared" si="0"/>
        <v>6.25E-2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77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83</v>
      </c>
      <c r="D4" s="5">
        <f>C4/8</f>
        <v>10.375</v>
      </c>
      <c r="E4" s="5">
        <v>1.1000000000000001</v>
      </c>
      <c r="F4" s="5" t="s">
        <v>36</v>
      </c>
      <c r="I4" s="5" t="s">
        <v>49</v>
      </c>
    </row>
    <row r="5" spans="1:9" x14ac:dyDescent="0.25">
      <c r="A5" s="10">
        <v>43322</v>
      </c>
      <c r="B5" s="5" t="s">
        <v>58</v>
      </c>
      <c r="C5" s="5">
        <v>-20</v>
      </c>
      <c r="D5" s="5">
        <f t="shared" ref="D5:D68" si="0">C5/8</f>
        <v>-2.5</v>
      </c>
    </row>
    <row r="6" spans="1:9" x14ac:dyDescent="0.25">
      <c r="A6" s="10">
        <v>43329</v>
      </c>
      <c r="B6" s="5" t="s">
        <v>58</v>
      </c>
      <c r="C6" s="5">
        <v>-1</v>
      </c>
      <c r="D6" s="5">
        <f t="shared" si="0"/>
        <v>-0.125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43364</v>
      </c>
      <c r="B8" s="5" t="s">
        <v>80</v>
      </c>
      <c r="C8" s="5">
        <v>2</v>
      </c>
      <c r="D8" s="5">
        <f t="shared" si="0"/>
        <v>0.25</v>
      </c>
    </row>
    <row r="9" spans="1:9" x14ac:dyDescent="0.25">
      <c r="A9" s="10">
        <v>43378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43412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43418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43474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43550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43570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43572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78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43252</v>
      </c>
      <c r="B4" s="5" t="s">
        <v>26</v>
      </c>
      <c r="C4" s="5">
        <v>77.5</v>
      </c>
      <c r="D4" s="5">
        <f t="shared" ref="D4:D67" si="0">C4/8</f>
        <v>9.6875</v>
      </c>
      <c r="I4" s="5" t="s">
        <v>27</v>
      </c>
    </row>
    <row r="5" spans="1:9" x14ac:dyDescent="0.25">
      <c r="A5" s="10">
        <v>43315</v>
      </c>
      <c r="B5" s="5" t="s">
        <v>26</v>
      </c>
      <c r="C5" s="5">
        <v>-24</v>
      </c>
      <c r="D5" s="5">
        <f t="shared" si="0"/>
        <v>-3</v>
      </c>
      <c r="I5" s="5" t="s">
        <v>72</v>
      </c>
    </row>
    <row r="6" spans="1:9" x14ac:dyDescent="0.25">
      <c r="A6" s="10">
        <v>43322</v>
      </c>
      <c r="B6" s="5" t="s">
        <v>58</v>
      </c>
      <c r="C6" s="5">
        <v>-4</v>
      </c>
      <c r="D6" s="5">
        <f t="shared" si="0"/>
        <v>-0.5</v>
      </c>
    </row>
    <row r="7" spans="1:9" x14ac:dyDescent="0.25">
      <c r="A7" s="10">
        <v>43329</v>
      </c>
      <c r="B7" s="5" t="s">
        <v>58</v>
      </c>
      <c r="C7" s="5">
        <v>-1</v>
      </c>
      <c r="D7" s="5">
        <f t="shared" si="0"/>
        <v>-0.125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43382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43418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43413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43520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43523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43550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0.5</v>
      </c>
      <c r="D19" s="5">
        <f t="shared" si="0"/>
        <v>6.25E-2</v>
      </c>
    </row>
    <row r="20" spans="1:4" x14ac:dyDescent="0.25">
      <c r="A20" s="10">
        <v>43570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43572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>C28/8</f>
        <v>0</v>
      </c>
    </row>
    <row r="29" spans="1:4" x14ac:dyDescent="0.25">
      <c r="C29" s="5" t="s">
        <v>24</v>
      </c>
      <c r="D29" s="5" t="e">
        <f>C29/8</f>
        <v>#VALUE!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79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82</v>
      </c>
      <c r="D4" s="5">
        <f t="shared" ref="D4:D67" si="0">C4/8</f>
        <v>10.25</v>
      </c>
    </row>
    <row r="5" spans="1:9" x14ac:dyDescent="0.25">
      <c r="A5" s="10">
        <v>43308</v>
      </c>
      <c r="B5" s="5" t="s">
        <v>58</v>
      </c>
      <c r="C5" s="5">
        <v>38</v>
      </c>
      <c r="D5" s="5">
        <f t="shared" si="0"/>
        <v>4.75</v>
      </c>
      <c r="I5" s="5" t="s">
        <v>62</v>
      </c>
    </row>
    <row r="6" spans="1:9" x14ac:dyDescent="0.25">
      <c r="A6" s="10">
        <v>43320</v>
      </c>
      <c r="B6" s="5" t="s">
        <v>58</v>
      </c>
      <c r="C6" s="5">
        <v>8</v>
      </c>
      <c r="D6" s="5">
        <f t="shared" si="0"/>
        <v>1</v>
      </c>
    </row>
    <row r="7" spans="1:9" x14ac:dyDescent="0.25">
      <c r="A7" s="10">
        <v>43326</v>
      </c>
      <c r="B7" s="5" t="s">
        <v>58</v>
      </c>
      <c r="C7" s="5">
        <v>4</v>
      </c>
      <c r="D7" s="5">
        <f t="shared" si="0"/>
        <v>0.5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43333</v>
      </c>
      <c r="B9" s="5" t="s">
        <v>58</v>
      </c>
      <c r="C9" s="5">
        <v>2</v>
      </c>
      <c r="D9" s="5">
        <f t="shared" si="0"/>
        <v>0.25</v>
      </c>
    </row>
    <row r="10" spans="1:9" x14ac:dyDescent="0.25">
      <c r="A10" s="10">
        <v>43363</v>
      </c>
      <c r="B10" s="5" t="s">
        <v>26</v>
      </c>
      <c r="C10" s="5">
        <v>2</v>
      </c>
      <c r="D10" s="5">
        <f t="shared" si="0"/>
        <v>0.25</v>
      </c>
    </row>
    <row r="11" spans="1:9" x14ac:dyDescent="0.25">
      <c r="A11" s="10">
        <v>43376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43405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43418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43475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43495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43513</v>
      </c>
      <c r="B16" s="5" t="s">
        <v>26</v>
      </c>
      <c r="C16" s="5">
        <v>0.25</v>
      </c>
      <c r="D16" s="5">
        <f t="shared" si="0"/>
        <v>3.125E-2</v>
      </c>
      <c r="I16" s="5" t="s">
        <v>24</v>
      </c>
    </row>
    <row r="17" spans="1:4" x14ac:dyDescent="0.25">
      <c r="A17" s="10">
        <v>43520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43536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43549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8" sqref="A18:XFD18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80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91</v>
      </c>
      <c r="D4" s="5">
        <f>C4/8</f>
        <v>11.375</v>
      </c>
      <c r="F4" s="5" t="s">
        <v>36</v>
      </c>
      <c r="I4" s="5" t="s">
        <v>48</v>
      </c>
    </row>
    <row r="5" spans="1:9" x14ac:dyDescent="0.25">
      <c r="A5" s="10">
        <v>43312</v>
      </c>
      <c r="B5" s="5" t="s">
        <v>58</v>
      </c>
      <c r="C5" s="5">
        <v>-7</v>
      </c>
      <c r="D5" s="5">
        <f t="shared" ref="D5:D68" si="0">C5/8</f>
        <v>-0.875</v>
      </c>
      <c r="I5" s="5" t="s">
        <v>66</v>
      </c>
    </row>
    <row r="6" spans="1:9" x14ac:dyDescent="0.25">
      <c r="A6" s="10">
        <v>43321</v>
      </c>
      <c r="B6" s="5" t="s">
        <v>58</v>
      </c>
      <c r="C6" s="5">
        <v>-28</v>
      </c>
      <c r="D6" s="5">
        <f t="shared" si="0"/>
        <v>-3.5</v>
      </c>
      <c r="I6" s="5" t="s">
        <v>76</v>
      </c>
    </row>
    <row r="7" spans="1:9" x14ac:dyDescent="0.25">
      <c r="A7" s="10">
        <v>43329</v>
      </c>
      <c r="B7" s="5" t="s">
        <v>58</v>
      </c>
      <c r="C7" s="5">
        <v>0.5</v>
      </c>
      <c r="D7" s="5">
        <f t="shared" si="0"/>
        <v>6.25E-2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43363</v>
      </c>
      <c r="B9" s="5" t="s">
        <v>26</v>
      </c>
      <c r="C9" s="5">
        <v>1</v>
      </c>
      <c r="D9" s="5">
        <f t="shared" si="0"/>
        <v>0.125</v>
      </c>
    </row>
    <row r="10" spans="1:9" x14ac:dyDescent="0.25">
      <c r="A10" s="10">
        <v>43475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43513</v>
      </c>
      <c r="B11" s="5" t="s">
        <v>26</v>
      </c>
      <c r="C11" s="5">
        <v>0.25</v>
      </c>
      <c r="D11" s="5">
        <f t="shared" si="0"/>
        <v>3.125E-2</v>
      </c>
    </row>
    <row r="12" spans="1:9" x14ac:dyDescent="0.25">
      <c r="A12" s="10">
        <v>43520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43536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43549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43550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43564</v>
      </c>
      <c r="B16" s="5" t="s">
        <v>26</v>
      </c>
      <c r="C16" s="5">
        <v>0.25</v>
      </c>
      <c r="D16" s="5">
        <f t="shared" si="0"/>
        <v>3.125E-2</v>
      </c>
    </row>
    <row r="17" spans="1:4" x14ac:dyDescent="0.25">
      <c r="A17" s="10">
        <v>43570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43572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3" sqref="A13:XFD1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50</v>
      </c>
      <c r="D4" s="5">
        <f>C4/8</f>
        <v>6.25</v>
      </c>
      <c r="E4" s="5">
        <v>1</v>
      </c>
      <c r="F4" s="5" t="s">
        <v>36</v>
      </c>
      <c r="I4" s="5" t="s">
        <v>57</v>
      </c>
    </row>
    <row r="5" spans="1:9" x14ac:dyDescent="0.25">
      <c r="A5" s="10">
        <v>43332</v>
      </c>
      <c r="B5" s="5" t="s">
        <v>79</v>
      </c>
      <c r="C5" s="5">
        <v>-15.2</v>
      </c>
      <c r="D5" s="5">
        <f t="shared" ref="D5:D68" si="0">C5/8</f>
        <v>-1.9</v>
      </c>
    </row>
    <row r="6" spans="1:9" x14ac:dyDescent="0.25">
      <c r="A6" s="10">
        <v>43513</v>
      </c>
      <c r="B6" s="5" t="s">
        <v>26</v>
      </c>
      <c r="C6" s="5">
        <v>0.25</v>
      </c>
      <c r="D6" s="5">
        <f t="shared" si="0"/>
        <v>3.125E-2</v>
      </c>
    </row>
    <row r="7" spans="1:9" x14ac:dyDescent="0.25">
      <c r="A7" s="10">
        <v>43536</v>
      </c>
      <c r="B7" s="5" t="s">
        <v>88</v>
      </c>
      <c r="C7" s="5">
        <v>0.25</v>
      </c>
      <c r="D7" s="5">
        <f t="shared" si="0"/>
        <v>3.125E-2</v>
      </c>
    </row>
    <row r="8" spans="1:9" x14ac:dyDescent="0.25">
      <c r="A8" s="10">
        <v>43549</v>
      </c>
      <c r="B8" s="5" t="s">
        <v>88</v>
      </c>
      <c r="C8" s="5">
        <v>0.25</v>
      </c>
      <c r="D8" s="5">
        <f t="shared" si="0"/>
        <v>3.125E-2</v>
      </c>
    </row>
    <row r="9" spans="1:9" x14ac:dyDescent="0.25">
      <c r="A9" s="10">
        <v>43550</v>
      </c>
      <c r="B9" s="5" t="s">
        <v>88</v>
      </c>
      <c r="C9" s="5">
        <v>0.25</v>
      </c>
      <c r="D9" s="5">
        <f t="shared" si="0"/>
        <v>3.125E-2</v>
      </c>
    </row>
    <row r="10" spans="1:9" x14ac:dyDescent="0.25">
      <c r="A10" s="10">
        <v>43564</v>
      </c>
      <c r="B10" s="5" t="s">
        <v>26</v>
      </c>
      <c r="C10" s="5">
        <v>0.25</v>
      </c>
      <c r="D10" s="5">
        <f t="shared" si="0"/>
        <v>3.125E-2</v>
      </c>
    </row>
    <row r="11" spans="1:9" x14ac:dyDescent="0.25">
      <c r="A11" s="10">
        <v>43566</v>
      </c>
      <c r="B11" s="5" t="s">
        <v>26</v>
      </c>
      <c r="C11" s="5">
        <v>0.25</v>
      </c>
      <c r="D11" s="5">
        <f t="shared" si="0"/>
        <v>3.125E-2</v>
      </c>
    </row>
    <row r="12" spans="1:9" x14ac:dyDescent="0.25">
      <c r="A12" s="10">
        <v>43570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43572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3" sqref="A23:XFD2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70</v>
      </c>
      <c r="D4" s="5">
        <f>C4/8</f>
        <v>8.75</v>
      </c>
      <c r="E4" s="5">
        <v>1.3</v>
      </c>
      <c r="F4" s="5" t="s">
        <v>44</v>
      </c>
      <c r="I4" s="5" t="s">
        <v>46</v>
      </c>
    </row>
    <row r="5" spans="1:9" x14ac:dyDescent="0.25">
      <c r="A5" s="10">
        <v>43315</v>
      </c>
      <c r="B5" s="5" t="s">
        <v>26</v>
      </c>
      <c r="C5" s="5">
        <v>-4</v>
      </c>
      <c r="D5" s="5">
        <f t="shared" ref="D5:D68" si="0">C5/8</f>
        <v>-0.5</v>
      </c>
      <c r="I5" s="5" t="s">
        <v>72</v>
      </c>
    </row>
    <row r="6" spans="1:9" x14ac:dyDescent="0.25">
      <c r="A6" s="10">
        <v>43322</v>
      </c>
      <c r="B6" s="5" t="s">
        <v>58</v>
      </c>
      <c r="C6" s="5">
        <v>-16</v>
      </c>
      <c r="D6" s="5">
        <f t="shared" si="0"/>
        <v>-2</v>
      </c>
    </row>
    <row r="7" spans="1:9" x14ac:dyDescent="0.25">
      <c r="A7" s="10">
        <v>43329</v>
      </c>
      <c r="B7" s="5" t="s">
        <v>58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2</v>
      </c>
      <c r="D9" s="5">
        <f t="shared" si="0"/>
        <v>0.25</v>
      </c>
    </row>
    <row r="10" spans="1:9" x14ac:dyDescent="0.25">
      <c r="A10" s="10">
        <v>43381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43382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43413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43474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43497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0.5</v>
      </c>
      <c r="D15" s="5">
        <f t="shared" si="0"/>
        <v>6.25E-2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43550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43564</v>
      </c>
      <c r="B20" s="5" t="s">
        <v>26</v>
      </c>
      <c r="C20" s="5">
        <v>0.25</v>
      </c>
      <c r="D20" s="5">
        <f t="shared" si="0"/>
        <v>3.125E-2</v>
      </c>
    </row>
    <row r="21" spans="1:4" x14ac:dyDescent="0.25">
      <c r="A21" s="10">
        <v>43566</v>
      </c>
      <c r="B21" s="5" t="s">
        <v>26</v>
      </c>
      <c r="C21" s="5">
        <v>0.5</v>
      </c>
      <c r="D21" s="5">
        <f t="shared" si="0"/>
        <v>6.25E-2</v>
      </c>
    </row>
    <row r="22" spans="1:4" x14ac:dyDescent="0.25">
      <c r="A22" s="10">
        <v>43570</v>
      </c>
      <c r="B22" s="5" t="s">
        <v>88</v>
      </c>
      <c r="C22" s="5">
        <v>0.5</v>
      </c>
      <c r="D22" s="5">
        <f t="shared" si="0"/>
        <v>6.25E-2</v>
      </c>
    </row>
    <row r="23" spans="1:4" x14ac:dyDescent="0.25">
      <c r="A23" s="10">
        <v>43572</v>
      </c>
      <c r="B23" s="5" t="s">
        <v>88</v>
      </c>
      <c r="C23" s="5">
        <v>0.5</v>
      </c>
      <c r="D23" s="5">
        <f t="shared" si="0"/>
        <v>6.25E-2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1" sqref="A1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43255</v>
      </c>
      <c r="B4" s="5" t="s">
        <v>26</v>
      </c>
      <c r="C4" s="5">
        <v>88</v>
      </c>
      <c r="D4" s="5">
        <f>C4/8</f>
        <v>11</v>
      </c>
      <c r="I4" s="5" t="s">
        <v>30</v>
      </c>
    </row>
    <row r="5" spans="1:9" x14ac:dyDescent="0.25">
      <c r="A5" s="10">
        <v>43312</v>
      </c>
      <c r="B5" s="5" t="s">
        <v>58</v>
      </c>
      <c r="C5" s="5">
        <v>20</v>
      </c>
      <c r="D5" s="5">
        <f t="shared" ref="D5:D68" si="0">C5/8</f>
        <v>2.5</v>
      </c>
    </row>
    <row r="6" spans="1:9" x14ac:dyDescent="0.25">
      <c r="A6" s="10">
        <v>43326</v>
      </c>
      <c r="B6" s="5" t="s">
        <v>58</v>
      </c>
      <c r="C6" s="5">
        <v>12</v>
      </c>
      <c r="D6" s="5">
        <f t="shared" si="0"/>
        <v>1.5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43418</v>
      </c>
      <c r="B8" s="5" t="s">
        <v>80</v>
      </c>
      <c r="C8" s="5">
        <v>0.25</v>
      </c>
      <c r="D8" s="5">
        <f t="shared" si="0"/>
        <v>3.125E-2</v>
      </c>
    </row>
    <row r="9" spans="1:9" x14ac:dyDescent="0.25">
      <c r="A9" s="10">
        <v>43497</v>
      </c>
      <c r="B9" s="5" t="s">
        <v>80</v>
      </c>
      <c r="C9" s="5">
        <v>0.25</v>
      </c>
      <c r="D9" s="5">
        <f t="shared" si="0"/>
        <v>3.125E-2</v>
      </c>
    </row>
    <row r="10" spans="1:9" x14ac:dyDescent="0.25">
      <c r="A10" s="10">
        <v>43513</v>
      </c>
      <c r="B10" s="5" t="s">
        <v>26</v>
      </c>
      <c r="C10" s="5">
        <v>0.25</v>
      </c>
      <c r="D10" s="5">
        <f t="shared" si="0"/>
        <v>3.125E-2</v>
      </c>
    </row>
    <row r="11" spans="1:9" x14ac:dyDescent="0.25">
      <c r="D11" s="5">
        <f t="shared" si="0"/>
        <v>0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2" sqref="A22:XFD2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82</v>
      </c>
      <c r="D4" s="5">
        <f>C4/8</f>
        <v>10.25</v>
      </c>
      <c r="E4" s="5">
        <v>1.1000000000000001</v>
      </c>
      <c r="F4" s="5" t="s">
        <v>36</v>
      </c>
      <c r="I4" s="5" t="s">
        <v>43</v>
      </c>
    </row>
    <row r="5" spans="1:9" x14ac:dyDescent="0.25">
      <c r="A5" s="10">
        <v>43313</v>
      </c>
      <c r="B5" s="5" t="s">
        <v>58</v>
      </c>
      <c r="C5" s="5">
        <v>-16</v>
      </c>
      <c r="D5" s="5">
        <f t="shared" ref="D5:D68" si="0">C5/8</f>
        <v>-2</v>
      </c>
      <c r="I5" s="5" t="s">
        <v>61</v>
      </c>
    </row>
    <row r="6" spans="1:9" x14ac:dyDescent="0.25">
      <c r="A6" s="10">
        <v>43329</v>
      </c>
      <c r="B6" s="5" t="s">
        <v>58</v>
      </c>
      <c r="C6" s="5">
        <v>-12</v>
      </c>
      <c r="D6" s="5">
        <f t="shared" si="0"/>
        <v>-1.5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43363</v>
      </c>
      <c r="B8" s="5" t="s">
        <v>26</v>
      </c>
      <c r="C8" s="5">
        <v>2</v>
      </c>
      <c r="D8" s="5">
        <f t="shared" si="0"/>
        <v>0.25</v>
      </c>
    </row>
    <row r="9" spans="1:9" x14ac:dyDescent="0.25">
      <c r="A9" s="10">
        <v>43369</v>
      </c>
      <c r="B9" s="5" t="s">
        <v>26</v>
      </c>
      <c r="C9" s="5">
        <v>0.5</v>
      </c>
      <c r="D9" s="5">
        <f t="shared" si="0"/>
        <v>6.25E-2</v>
      </c>
    </row>
    <row r="10" spans="1:9" x14ac:dyDescent="0.25">
      <c r="A10" s="10">
        <v>43411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43474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43497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43498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43513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43520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43550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43566</v>
      </c>
      <c r="B20" s="5" t="s">
        <v>26</v>
      </c>
      <c r="C20" s="5">
        <v>0.5</v>
      </c>
      <c r="D20" s="5">
        <f t="shared" si="0"/>
        <v>6.25E-2</v>
      </c>
    </row>
    <row r="21" spans="1:4" x14ac:dyDescent="0.25">
      <c r="A21" s="10">
        <v>43570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43572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67</v>
      </c>
      <c r="D4" s="5">
        <f>C4/8</f>
        <v>8.375</v>
      </c>
      <c r="E4" s="5">
        <v>1</v>
      </c>
      <c r="F4" s="5" t="s">
        <v>36</v>
      </c>
      <c r="I4" s="5" t="s">
        <v>55</v>
      </c>
    </row>
    <row r="5" spans="1:9" x14ac:dyDescent="0.25">
      <c r="A5" s="10">
        <v>43315</v>
      </c>
      <c r="B5" s="5" t="s">
        <v>26</v>
      </c>
      <c r="C5" s="5">
        <v>-8</v>
      </c>
      <c r="D5" s="5">
        <f t="shared" ref="D5:D68" si="0">C5/8</f>
        <v>-1</v>
      </c>
      <c r="I5" s="5" t="s">
        <v>72</v>
      </c>
    </row>
    <row r="6" spans="1:9" x14ac:dyDescent="0.25">
      <c r="A6" s="10">
        <v>43322</v>
      </c>
      <c r="B6" s="5" t="s">
        <v>58</v>
      </c>
      <c r="C6" s="5">
        <v>-12</v>
      </c>
      <c r="D6" s="5">
        <f t="shared" si="0"/>
        <v>-1.5</v>
      </c>
    </row>
    <row r="7" spans="1:9" x14ac:dyDescent="0.25">
      <c r="A7" s="10">
        <v>43329</v>
      </c>
      <c r="B7" s="5" t="s">
        <v>58</v>
      </c>
      <c r="C7" s="5">
        <v>-2</v>
      </c>
      <c r="D7" s="5">
        <f t="shared" si="0"/>
        <v>-0.25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43378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43412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43474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43550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43570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43572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2" sqref="A22:XFD22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43255</v>
      </c>
      <c r="B4" s="5" t="s">
        <v>26</v>
      </c>
      <c r="C4" s="5">
        <v>60</v>
      </c>
      <c r="D4" s="5">
        <f>C4/8</f>
        <v>7.5</v>
      </c>
      <c r="I4" s="5" t="s">
        <v>27</v>
      </c>
    </row>
    <row r="5" spans="1:9" x14ac:dyDescent="0.25">
      <c r="A5" s="10">
        <v>43315</v>
      </c>
      <c r="B5" s="5" t="s">
        <v>26</v>
      </c>
      <c r="C5" s="5">
        <v>-12</v>
      </c>
      <c r="D5" s="5">
        <f t="shared" ref="D5:D68" si="0">C5/8</f>
        <v>-1.5</v>
      </c>
      <c r="I5" s="5" t="s">
        <v>72</v>
      </c>
    </row>
    <row r="6" spans="1:9" x14ac:dyDescent="0.25">
      <c r="A6" s="10">
        <v>43322</v>
      </c>
      <c r="B6" s="5" t="s">
        <v>58</v>
      </c>
      <c r="C6" s="5">
        <v>-4</v>
      </c>
      <c r="D6" s="5">
        <f t="shared" si="0"/>
        <v>-0.5</v>
      </c>
    </row>
    <row r="7" spans="1:9" x14ac:dyDescent="0.25">
      <c r="A7" s="10">
        <v>43329</v>
      </c>
      <c r="B7" s="5" t="s">
        <v>58</v>
      </c>
      <c r="C7" s="5">
        <v>-6</v>
      </c>
      <c r="D7" s="5">
        <f t="shared" si="0"/>
        <v>-0.75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0.25</v>
      </c>
      <c r="D10" s="5">
        <f t="shared" si="0"/>
        <v>3.125E-2</v>
      </c>
    </row>
    <row r="11" spans="1:9" x14ac:dyDescent="0.25">
      <c r="A11" s="10">
        <v>43382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43413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43523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43536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43549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43550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43564</v>
      </c>
      <c r="B19" s="5" t="s">
        <v>26</v>
      </c>
      <c r="C19" s="5">
        <v>0.25</v>
      </c>
      <c r="D19" s="5">
        <f t="shared" si="0"/>
        <v>3.125E-2</v>
      </c>
    </row>
    <row r="20" spans="1:4" x14ac:dyDescent="0.25">
      <c r="A20" s="10">
        <v>43566</v>
      </c>
      <c r="B20" s="5" t="s">
        <v>26</v>
      </c>
      <c r="C20" s="5">
        <v>0.5</v>
      </c>
      <c r="D20" s="5">
        <f t="shared" si="0"/>
        <v>6.25E-2</v>
      </c>
    </row>
    <row r="21" spans="1:4" x14ac:dyDescent="0.25">
      <c r="A21" s="10">
        <v>43570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43572</v>
      </c>
      <c r="B22" s="5" t="s">
        <v>88</v>
      </c>
      <c r="C22" s="5">
        <v>0.25</v>
      </c>
      <c r="D22" s="5">
        <f t="shared" si="0"/>
        <v>3.125E-2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87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76</v>
      </c>
      <c r="D4" s="5">
        <f t="shared" ref="D4:D67" si="0">C4/8</f>
        <v>9.5</v>
      </c>
    </row>
    <row r="5" spans="1:9" x14ac:dyDescent="0.25">
      <c r="A5" s="10">
        <v>43320</v>
      </c>
      <c r="B5" s="5" t="s">
        <v>58</v>
      </c>
      <c r="C5" s="5">
        <v>32</v>
      </c>
      <c r="D5" s="5">
        <f t="shared" si="0"/>
        <v>4</v>
      </c>
    </row>
    <row r="6" spans="1:9" x14ac:dyDescent="0.25">
      <c r="A6" s="10">
        <v>43326</v>
      </c>
      <c r="B6" s="5" t="s">
        <v>58</v>
      </c>
      <c r="C6" s="5">
        <v>2</v>
      </c>
      <c r="D6" s="5">
        <f t="shared" si="0"/>
        <v>0.25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43333</v>
      </c>
      <c r="B8" s="5" t="s">
        <v>58</v>
      </c>
      <c r="C8" s="5">
        <v>0.5</v>
      </c>
      <c r="D8" s="5">
        <f t="shared" si="0"/>
        <v>6.25E-2</v>
      </c>
    </row>
    <row r="9" spans="1:9" x14ac:dyDescent="0.25">
      <c r="A9" s="10">
        <v>43363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43376</v>
      </c>
      <c r="B10" s="5" t="s">
        <v>80</v>
      </c>
      <c r="C10" s="5">
        <v>0.5</v>
      </c>
      <c r="D10" s="5">
        <f t="shared" si="0"/>
        <v>6.25E-2</v>
      </c>
    </row>
    <row r="11" spans="1:9" x14ac:dyDescent="0.25">
      <c r="A11" s="10">
        <v>43405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43418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43475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43495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0.5</v>
      </c>
      <c r="D15" s="5">
        <f t="shared" si="0"/>
        <v>6.25E-2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43536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43549</v>
      </c>
      <c r="B18" s="5" t="s">
        <v>88</v>
      </c>
      <c r="C18" s="5">
        <v>0.5</v>
      </c>
      <c r="D18" s="5">
        <f t="shared" si="0"/>
        <v>6.25E-2</v>
      </c>
    </row>
    <row r="19" spans="1:4" x14ac:dyDescent="0.25">
      <c r="A19" s="10">
        <v>43550</v>
      </c>
      <c r="B19" s="5" t="s">
        <v>88</v>
      </c>
      <c r="C19" s="5">
        <v>0.5</v>
      </c>
      <c r="D19" s="5">
        <f t="shared" si="0"/>
        <v>6.25E-2</v>
      </c>
    </row>
    <row r="20" spans="1:4" x14ac:dyDescent="0.25">
      <c r="A20" s="10">
        <v>43551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43570</v>
      </c>
      <c r="B23" s="5" t="s">
        <v>88</v>
      </c>
      <c r="C23" s="5">
        <v>0.5</v>
      </c>
      <c r="D23" s="5">
        <f t="shared" si="0"/>
        <v>6.25E-2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16" sqref="A16:XFD16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88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72</v>
      </c>
      <c r="D4" s="5">
        <f t="shared" ref="D4:D67" si="0">C4/8</f>
        <v>9</v>
      </c>
    </row>
    <row r="5" spans="1:9" x14ac:dyDescent="0.25">
      <c r="A5" s="10">
        <v>43312</v>
      </c>
      <c r="B5" s="5" t="s">
        <v>58</v>
      </c>
      <c r="C5" s="5">
        <v>8</v>
      </c>
      <c r="D5" s="5">
        <f t="shared" si="0"/>
        <v>1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43369</v>
      </c>
      <c r="B7" s="5" t="s">
        <v>26</v>
      </c>
      <c r="C7" s="5">
        <v>0.5</v>
      </c>
      <c r="D7" s="5">
        <f t="shared" si="0"/>
        <v>6.25E-2</v>
      </c>
    </row>
    <row r="8" spans="1:9" x14ac:dyDescent="0.25">
      <c r="A8" s="10">
        <v>43377</v>
      </c>
      <c r="B8" s="5" t="s">
        <v>26</v>
      </c>
      <c r="C8" s="5">
        <v>0.25</v>
      </c>
      <c r="D8" s="5">
        <f t="shared" si="0"/>
        <v>3.125E-2</v>
      </c>
    </row>
    <row r="9" spans="1:9" x14ac:dyDescent="0.25">
      <c r="A9" s="10">
        <v>43418</v>
      </c>
      <c r="B9" s="5" t="s">
        <v>80</v>
      </c>
      <c r="C9" s="5">
        <v>0.25</v>
      </c>
      <c r="D9" s="5">
        <f t="shared" si="0"/>
        <v>3.125E-2</v>
      </c>
    </row>
    <row r="10" spans="1:9" x14ac:dyDescent="0.25">
      <c r="A10" s="10">
        <v>43497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43513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43520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43549</v>
      </c>
      <c r="B13" s="5" t="s">
        <v>88</v>
      </c>
      <c r="C13" s="5">
        <v>0.5</v>
      </c>
      <c r="D13" s="5">
        <f t="shared" si="0"/>
        <v>6.25E-2</v>
      </c>
    </row>
    <row r="14" spans="1:9" x14ac:dyDescent="0.25">
      <c r="A14" s="10">
        <v>43564</v>
      </c>
      <c r="B14" s="5" t="s">
        <v>26</v>
      </c>
      <c r="C14" s="5">
        <v>0.25</v>
      </c>
      <c r="D14" s="5">
        <f t="shared" si="0"/>
        <v>3.125E-2</v>
      </c>
    </row>
    <row r="15" spans="1:9" x14ac:dyDescent="0.25">
      <c r="A15" s="10">
        <v>43570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43572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/>
      <c r="D17" s="5">
        <f t="shared" si="0"/>
        <v>0</v>
      </c>
    </row>
    <row r="18" spans="1:4" x14ac:dyDescent="0.25"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D11" sqref="D1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89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84.5</v>
      </c>
      <c r="D4" s="5">
        <f>C4/8</f>
        <v>10.5625</v>
      </c>
      <c r="E4" s="5">
        <v>1.9</v>
      </c>
      <c r="F4" s="5" t="s">
        <v>36</v>
      </c>
      <c r="I4" s="5" t="s">
        <v>52</v>
      </c>
    </row>
    <row r="5" spans="1:9" x14ac:dyDescent="0.25">
      <c r="A5" s="10">
        <v>43315</v>
      </c>
      <c r="B5" s="5" t="s">
        <v>26</v>
      </c>
      <c r="C5" s="5">
        <v>12</v>
      </c>
      <c r="D5" s="5">
        <f t="shared" ref="D5:D68" si="0">C5/8</f>
        <v>1.5</v>
      </c>
      <c r="I5" s="5" t="s">
        <v>75</v>
      </c>
    </row>
    <row r="6" spans="1:9" x14ac:dyDescent="0.25">
      <c r="A6" s="10">
        <v>43321</v>
      </c>
      <c r="B6" s="5" t="s">
        <v>58</v>
      </c>
      <c r="C6" s="5">
        <v>-16</v>
      </c>
      <c r="D6" s="5">
        <f t="shared" si="0"/>
        <v>-2</v>
      </c>
      <c r="I6" s="5" t="s">
        <v>76</v>
      </c>
    </row>
    <row r="7" spans="1:9" x14ac:dyDescent="0.25">
      <c r="A7" s="10">
        <v>43329</v>
      </c>
      <c r="B7" s="5" t="s">
        <v>58</v>
      </c>
      <c r="C7" s="5">
        <v>8</v>
      </c>
      <c r="D7" s="5">
        <f t="shared" si="0"/>
        <v>1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43363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43378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5" sqref="A25:XFD25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90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58</v>
      </c>
      <c r="D4" s="5">
        <f>C4/8</f>
        <v>7.25</v>
      </c>
      <c r="E4" s="5">
        <v>1</v>
      </c>
      <c r="F4" s="5" t="s">
        <v>36</v>
      </c>
      <c r="I4" s="5" t="s">
        <v>43</v>
      </c>
    </row>
    <row r="5" spans="1:9" x14ac:dyDescent="0.25">
      <c r="A5" s="10">
        <v>43315</v>
      </c>
      <c r="B5" s="5" t="s">
        <v>26</v>
      </c>
      <c r="C5" s="5">
        <v>-4</v>
      </c>
      <c r="D5" s="5">
        <f t="shared" ref="D5:D68" si="0">C5/8</f>
        <v>-0.5</v>
      </c>
      <c r="I5" s="5" t="s">
        <v>72</v>
      </c>
    </row>
    <row r="6" spans="1:9" x14ac:dyDescent="0.25">
      <c r="A6" s="10">
        <v>43322</v>
      </c>
      <c r="B6" s="5" t="s">
        <v>58</v>
      </c>
      <c r="C6" s="5">
        <v>-8</v>
      </c>
      <c r="D6" s="5">
        <f t="shared" si="0"/>
        <v>-1</v>
      </c>
    </row>
    <row r="7" spans="1:9" x14ac:dyDescent="0.25">
      <c r="A7" s="10">
        <v>43329</v>
      </c>
      <c r="B7" s="5" t="s">
        <v>58</v>
      </c>
      <c r="C7" s="5">
        <v>-6</v>
      </c>
      <c r="D7" s="5">
        <f t="shared" si="0"/>
        <v>-0.75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43381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43382</v>
      </c>
      <c r="B12" s="5" t="s">
        <v>80</v>
      </c>
      <c r="C12" s="5">
        <v>0.5</v>
      </c>
      <c r="D12" s="5">
        <f t="shared" si="0"/>
        <v>6.25E-2</v>
      </c>
    </row>
    <row r="13" spans="1:9" x14ac:dyDescent="0.25">
      <c r="A13" s="10">
        <v>43418</v>
      </c>
      <c r="B13" s="5" t="s">
        <v>80</v>
      </c>
      <c r="C13" s="5">
        <v>0.5</v>
      </c>
      <c r="D13" s="5">
        <f t="shared" si="0"/>
        <v>6.25E-2</v>
      </c>
    </row>
    <row r="14" spans="1:9" x14ac:dyDescent="0.25">
      <c r="A14" s="10">
        <v>43413</v>
      </c>
      <c r="B14" s="5" t="s">
        <v>80</v>
      </c>
      <c r="C14" s="5">
        <v>0.5</v>
      </c>
      <c r="D14" s="5">
        <f t="shared" si="0"/>
        <v>6.25E-2</v>
      </c>
    </row>
    <row r="15" spans="1:9" x14ac:dyDescent="0.25">
      <c r="A15" s="10">
        <v>43474</v>
      </c>
      <c r="B15" s="5" t="s">
        <v>80</v>
      </c>
      <c r="C15" s="5">
        <v>0.25</v>
      </c>
      <c r="D15" s="5">
        <f t="shared" si="0"/>
        <v>3.125E-2</v>
      </c>
    </row>
    <row r="16" spans="1:9" x14ac:dyDescent="0.25">
      <c r="A16" s="10">
        <v>43513</v>
      </c>
      <c r="B16" s="5" t="s">
        <v>26</v>
      </c>
      <c r="C16" s="5">
        <v>0.25</v>
      </c>
      <c r="D16" s="5">
        <f t="shared" si="0"/>
        <v>3.125E-2</v>
      </c>
    </row>
    <row r="17" spans="1:4" x14ac:dyDescent="0.25">
      <c r="A17" s="10">
        <v>43520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43523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43536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43549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43550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A22" s="10">
        <v>43564</v>
      </c>
      <c r="B22" s="5" t="s">
        <v>26</v>
      </c>
      <c r="C22" s="5">
        <v>0.25</v>
      </c>
      <c r="D22" s="5">
        <f t="shared" si="0"/>
        <v>3.125E-2</v>
      </c>
    </row>
    <row r="23" spans="1:4" x14ac:dyDescent="0.25">
      <c r="A23" s="10">
        <v>43566</v>
      </c>
      <c r="B23" s="5" t="s">
        <v>26</v>
      </c>
      <c r="C23" s="5">
        <v>0.5</v>
      </c>
      <c r="D23" s="5">
        <f t="shared" si="0"/>
        <v>6.25E-2</v>
      </c>
    </row>
    <row r="24" spans="1:4" x14ac:dyDescent="0.25">
      <c r="A24" s="10">
        <v>43570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A25" s="10">
        <v>43572</v>
      </c>
      <c r="B25" s="5" t="s">
        <v>88</v>
      </c>
      <c r="C25" s="5">
        <v>0.25</v>
      </c>
      <c r="D25" s="5">
        <f t="shared" si="0"/>
        <v>3.125E-2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1" sqref="A21:XFD2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91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64</v>
      </c>
      <c r="D4" s="5">
        <f t="shared" ref="D4:D67" si="0">C4/8</f>
        <v>8</v>
      </c>
    </row>
    <row r="5" spans="1:9" x14ac:dyDescent="0.25">
      <c r="A5" s="10">
        <v>43311</v>
      </c>
      <c r="B5" s="5" t="s">
        <v>26</v>
      </c>
      <c r="C5" s="5">
        <v>24</v>
      </c>
      <c r="D5" s="5">
        <f t="shared" si="0"/>
        <v>3</v>
      </c>
      <c r="I5" s="5" t="s">
        <v>65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43333</v>
      </c>
      <c r="B7" s="5" t="s">
        <v>58</v>
      </c>
      <c r="C7" s="5">
        <v>0.5</v>
      </c>
      <c r="D7" s="5">
        <f t="shared" si="0"/>
        <v>6.25E-2</v>
      </c>
    </row>
    <row r="8" spans="1:9" x14ac:dyDescent="0.25">
      <c r="A8" s="10">
        <v>43363</v>
      </c>
      <c r="B8" s="5" t="s">
        <v>26</v>
      </c>
      <c r="C8" s="5">
        <v>1</v>
      </c>
      <c r="D8" s="5">
        <f t="shared" si="0"/>
        <v>0.125</v>
      </c>
    </row>
    <row r="9" spans="1:9" x14ac:dyDescent="0.25">
      <c r="A9" s="10">
        <v>43369</v>
      </c>
      <c r="B9" s="5" t="s">
        <v>26</v>
      </c>
      <c r="C9" s="5">
        <v>0.5</v>
      </c>
      <c r="D9" s="5">
        <f t="shared" si="0"/>
        <v>6.25E-2</v>
      </c>
    </row>
    <row r="10" spans="1:9" x14ac:dyDescent="0.25">
      <c r="A10" s="10">
        <v>43406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43418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43496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0.25</v>
      </c>
      <c r="D13" s="5">
        <f t="shared" si="0"/>
        <v>3.125E-2</v>
      </c>
    </row>
    <row r="14" spans="1:9" x14ac:dyDescent="0.25">
      <c r="A14" s="10">
        <v>43520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43536</v>
      </c>
      <c r="B15" s="5" t="s">
        <v>88</v>
      </c>
      <c r="C15" s="5">
        <v>0.25</v>
      </c>
      <c r="D15" s="5">
        <f t="shared" si="0"/>
        <v>3.125E-2</v>
      </c>
    </row>
    <row r="16" spans="1:9" x14ac:dyDescent="0.25">
      <c r="A16" s="10">
        <v>43549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43550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43564</v>
      </c>
      <c r="B18" s="5" t="s">
        <v>26</v>
      </c>
      <c r="C18" s="5">
        <v>0.25</v>
      </c>
      <c r="D18" s="5">
        <f t="shared" si="0"/>
        <v>3.125E-2</v>
      </c>
    </row>
    <row r="19" spans="1:4" x14ac:dyDescent="0.25">
      <c r="A19" s="10">
        <v>43566</v>
      </c>
      <c r="B19" s="5" t="s">
        <v>26</v>
      </c>
      <c r="C19" s="5">
        <v>0.5</v>
      </c>
      <c r="D19" s="5">
        <f t="shared" si="0"/>
        <v>6.25E-2</v>
      </c>
    </row>
    <row r="20" spans="1:4" x14ac:dyDescent="0.25">
      <c r="A20" s="10">
        <v>43570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43572</v>
      </c>
      <c r="B21" s="5" t="s">
        <v>88</v>
      </c>
      <c r="C21" s="5">
        <v>0.25</v>
      </c>
      <c r="D21" s="5">
        <f t="shared" si="0"/>
        <v>3.125E-2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1">C68/8</f>
        <v>0</v>
      </c>
    </row>
    <row r="69" spans="4:4" x14ac:dyDescent="0.25">
      <c r="D69" s="5">
        <f t="shared" si="1"/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1" sqref="A11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92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43269</v>
      </c>
      <c r="B4" s="5" t="s">
        <v>26</v>
      </c>
      <c r="C4" s="5">
        <v>65</v>
      </c>
      <c r="D4" s="5">
        <f>C4/8</f>
        <v>8.125</v>
      </c>
      <c r="F4" s="5" t="s">
        <v>36</v>
      </c>
      <c r="I4" s="5" t="s">
        <v>43</v>
      </c>
    </row>
    <row r="5" spans="1:9" x14ac:dyDescent="0.25">
      <c r="A5" s="10">
        <v>43313</v>
      </c>
      <c r="B5" s="5" t="s">
        <v>58</v>
      </c>
      <c r="C5" s="5">
        <v>23</v>
      </c>
      <c r="D5" s="5">
        <f t="shared" ref="D5:D68" si="0">C5/8</f>
        <v>2.875</v>
      </c>
      <c r="I5" s="5" t="s">
        <v>71</v>
      </c>
    </row>
    <row r="6" spans="1:9" x14ac:dyDescent="0.25">
      <c r="A6" s="10">
        <v>43321</v>
      </c>
      <c r="B6" s="5" t="s">
        <v>58</v>
      </c>
      <c r="C6" s="5">
        <v>2</v>
      </c>
      <c r="D6" s="5">
        <f t="shared" si="0"/>
        <v>0.25</v>
      </c>
      <c r="I6" s="5" t="s">
        <v>76</v>
      </c>
    </row>
    <row r="7" spans="1:9" x14ac:dyDescent="0.25">
      <c r="A7" s="10">
        <v>43329</v>
      </c>
      <c r="B7" s="5" t="s">
        <v>58</v>
      </c>
      <c r="C7" s="5">
        <v>0.25</v>
      </c>
      <c r="D7" s="5">
        <f t="shared" si="0"/>
        <v>3.125E-2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43333</v>
      </c>
      <c r="B9" s="5" t="s">
        <v>58</v>
      </c>
      <c r="C9" s="5">
        <v>0.5</v>
      </c>
      <c r="D9" s="5">
        <f t="shared" si="0"/>
        <v>6.25E-2</v>
      </c>
    </row>
    <row r="10" spans="1:9" x14ac:dyDescent="0.25">
      <c r="A10" s="10">
        <v>43363</v>
      </c>
      <c r="B10" s="5" t="s">
        <v>26</v>
      </c>
      <c r="C10" s="5">
        <v>1</v>
      </c>
      <c r="D10" s="5">
        <f t="shared" si="0"/>
        <v>0.125</v>
      </c>
    </row>
    <row r="11" spans="1:9" x14ac:dyDescent="0.25">
      <c r="A11" s="10"/>
      <c r="D11" s="5">
        <f t="shared" si="0"/>
        <v>0</v>
      </c>
    </row>
    <row r="12" spans="1:9" x14ac:dyDescent="0.25">
      <c r="D12" s="5">
        <f t="shared" si="0"/>
        <v>0</v>
      </c>
    </row>
    <row r="13" spans="1:9" x14ac:dyDescent="0.25">
      <c r="D13" s="5">
        <f t="shared" si="0"/>
        <v>0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24" sqref="A24:XFD24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93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43262</v>
      </c>
      <c r="B4" s="5" t="s">
        <v>26</v>
      </c>
      <c r="C4" s="5">
        <v>63</v>
      </c>
      <c r="D4" s="5">
        <f>C4/8</f>
        <v>7.875</v>
      </c>
      <c r="I4" s="5" t="s">
        <v>27</v>
      </c>
    </row>
    <row r="5" spans="1:9" x14ac:dyDescent="0.25">
      <c r="A5" s="10">
        <v>43315</v>
      </c>
      <c r="B5" s="5" t="s">
        <v>26</v>
      </c>
      <c r="C5" s="5">
        <v>-8</v>
      </c>
      <c r="D5" s="5">
        <f t="shared" ref="D5:D68" si="0">C5/8</f>
        <v>-1</v>
      </c>
      <c r="I5" s="5" t="s">
        <v>72</v>
      </c>
    </row>
    <row r="6" spans="1:9" x14ac:dyDescent="0.25">
      <c r="A6" s="10">
        <v>43322</v>
      </c>
      <c r="B6" s="5" t="s">
        <v>58</v>
      </c>
      <c r="C6" s="5">
        <v>32</v>
      </c>
      <c r="D6" s="5">
        <f t="shared" si="0"/>
        <v>4</v>
      </c>
    </row>
    <row r="7" spans="1:9" x14ac:dyDescent="0.25">
      <c r="A7" s="10">
        <v>43329</v>
      </c>
      <c r="B7" s="5" t="s">
        <v>58</v>
      </c>
      <c r="C7" s="5">
        <v>6</v>
      </c>
      <c r="D7" s="5">
        <f t="shared" si="0"/>
        <v>0.75</v>
      </c>
    </row>
    <row r="8" spans="1:9" x14ac:dyDescent="0.25">
      <c r="A8" s="10">
        <v>43332</v>
      </c>
      <c r="B8" s="5" t="s">
        <v>79</v>
      </c>
      <c r="C8" s="5">
        <v>-15.2</v>
      </c>
      <c r="D8" s="5">
        <f t="shared" si="0"/>
        <v>-1.9</v>
      </c>
    </row>
    <row r="9" spans="1:9" x14ac:dyDescent="0.25">
      <c r="A9" s="10">
        <v>43364</v>
      </c>
      <c r="B9" s="5" t="s">
        <v>80</v>
      </c>
      <c r="C9" s="5">
        <v>1</v>
      </c>
      <c r="D9" s="5">
        <f t="shared" si="0"/>
        <v>0.125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43378</v>
      </c>
      <c r="B11" s="5" t="s">
        <v>80</v>
      </c>
      <c r="C11" s="5">
        <v>0.5</v>
      </c>
      <c r="D11" s="5">
        <f t="shared" si="0"/>
        <v>6.25E-2</v>
      </c>
    </row>
    <row r="12" spans="1:9" x14ac:dyDescent="0.25">
      <c r="A12" s="10">
        <v>43412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43418</v>
      </c>
      <c r="B13" s="5" t="s">
        <v>80</v>
      </c>
      <c r="C13" s="5">
        <v>0.25</v>
      </c>
      <c r="D13" s="5">
        <f t="shared" si="0"/>
        <v>3.125E-2</v>
      </c>
    </row>
    <row r="14" spans="1:9" x14ac:dyDescent="0.25">
      <c r="A14" s="10">
        <v>43474</v>
      </c>
      <c r="B14" s="5" t="s">
        <v>80</v>
      </c>
      <c r="C14" s="5">
        <v>0.25</v>
      </c>
      <c r="D14" s="5">
        <f t="shared" si="0"/>
        <v>3.125E-2</v>
      </c>
    </row>
    <row r="15" spans="1:9" x14ac:dyDescent="0.25">
      <c r="A15" s="10">
        <v>43513</v>
      </c>
      <c r="B15" s="5" t="s">
        <v>26</v>
      </c>
      <c r="C15" s="5">
        <v>0.5</v>
      </c>
      <c r="D15" s="5">
        <f t="shared" si="0"/>
        <v>6.25E-2</v>
      </c>
    </row>
    <row r="16" spans="1:9" x14ac:dyDescent="0.25">
      <c r="A16" s="10">
        <v>43520</v>
      </c>
      <c r="B16" s="5" t="s">
        <v>88</v>
      </c>
      <c r="C16" s="5">
        <v>0.25</v>
      </c>
      <c r="D16" s="5">
        <f t="shared" si="0"/>
        <v>3.125E-2</v>
      </c>
    </row>
    <row r="17" spans="1:4" x14ac:dyDescent="0.25">
      <c r="A17" s="10">
        <v>43523</v>
      </c>
      <c r="B17" s="5" t="s">
        <v>88</v>
      </c>
      <c r="C17" s="5">
        <v>0.25</v>
      </c>
      <c r="D17" s="5">
        <f t="shared" si="0"/>
        <v>3.125E-2</v>
      </c>
    </row>
    <row r="18" spans="1:4" x14ac:dyDescent="0.25">
      <c r="A18" s="10">
        <v>43536</v>
      </c>
      <c r="B18" s="5" t="s">
        <v>88</v>
      </c>
      <c r="C18" s="5">
        <v>0.25</v>
      </c>
      <c r="D18" s="5">
        <f t="shared" si="0"/>
        <v>3.125E-2</v>
      </c>
    </row>
    <row r="19" spans="1:4" x14ac:dyDescent="0.25">
      <c r="A19" s="10">
        <v>43549</v>
      </c>
      <c r="B19" s="5" t="s">
        <v>88</v>
      </c>
      <c r="C19" s="5">
        <v>0.25</v>
      </c>
      <c r="D19" s="5">
        <f t="shared" si="0"/>
        <v>3.125E-2</v>
      </c>
    </row>
    <row r="20" spans="1:4" x14ac:dyDescent="0.25">
      <c r="A20" s="10">
        <v>43550</v>
      </c>
      <c r="B20" s="5" t="s">
        <v>88</v>
      </c>
      <c r="C20" s="5">
        <v>0.25</v>
      </c>
      <c r="D20" s="5">
        <f t="shared" si="0"/>
        <v>3.125E-2</v>
      </c>
    </row>
    <row r="21" spans="1:4" x14ac:dyDescent="0.25">
      <c r="A21" s="10">
        <v>43564</v>
      </c>
      <c r="B21" s="5" t="s">
        <v>26</v>
      </c>
      <c r="C21" s="5">
        <v>0.25</v>
      </c>
      <c r="D21" s="5">
        <f t="shared" si="0"/>
        <v>3.125E-2</v>
      </c>
    </row>
    <row r="22" spans="1:4" x14ac:dyDescent="0.25">
      <c r="A22" s="10">
        <v>43566</v>
      </c>
      <c r="B22" s="5" t="s">
        <v>26</v>
      </c>
      <c r="C22" s="5">
        <v>0.5</v>
      </c>
      <c r="D22" s="5">
        <f t="shared" si="0"/>
        <v>6.25E-2</v>
      </c>
    </row>
    <row r="23" spans="1:4" x14ac:dyDescent="0.25">
      <c r="A23" s="10">
        <v>43570</v>
      </c>
      <c r="B23" s="5" t="s">
        <v>88</v>
      </c>
      <c r="C23" s="5">
        <v>0.25</v>
      </c>
      <c r="D23" s="5">
        <f t="shared" si="0"/>
        <v>3.125E-2</v>
      </c>
    </row>
    <row r="24" spans="1:4" x14ac:dyDescent="0.25">
      <c r="A24" s="10">
        <v>43572</v>
      </c>
      <c r="B24" s="5" t="s">
        <v>88</v>
      </c>
      <c r="C24" s="5">
        <v>0.25</v>
      </c>
      <c r="D24" s="5">
        <f t="shared" si="0"/>
        <v>3.125E-2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C13" sqref="C13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94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80</v>
      </c>
      <c r="D4" s="5">
        <f>C4/8</f>
        <v>10</v>
      </c>
      <c r="I4" s="5" t="s">
        <v>11</v>
      </c>
    </row>
    <row r="5" spans="1:9" x14ac:dyDescent="0.25">
      <c r="A5" s="10">
        <v>43321</v>
      </c>
      <c r="B5" s="5" t="s">
        <v>58</v>
      </c>
      <c r="C5" s="5">
        <v>2</v>
      </c>
      <c r="D5" s="5">
        <f t="shared" ref="D5:D68" si="0">C5/8</f>
        <v>0.25</v>
      </c>
      <c r="I5" s="5" t="s">
        <v>76</v>
      </c>
    </row>
    <row r="6" spans="1:9" x14ac:dyDescent="0.25">
      <c r="A6" s="10">
        <v>43329</v>
      </c>
      <c r="B6" s="5" t="s">
        <v>58</v>
      </c>
      <c r="C6" s="5">
        <v>0.25</v>
      </c>
      <c r="D6" s="5">
        <f t="shared" si="0"/>
        <v>3.125E-2</v>
      </c>
    </row>
    <row r="7" spans="1:9" x14ac:dyDescent="0.25">
      <c r="A7" s="10">
        <v>43332</v>
      </c>
      <c r="B7" s="5" t="s">
        <v>79</v>
      </c>
      <c r="C7" s="5">
        <v>-15.2</v>
      </c>
      <c r="D7" s="5">
        <f t="shared" si="0"/>
        <v>-1.9</v>
      </c>
    </row>
    <row r="8" spans="1:9" x14ac:dyDescent="0.25">
      <c r="A8" s="10">
        <v>43333</v>
      </c>
      <c r="B8" s="5" t="s">
        <v>58</v>
      </c>
      <c r="C8" s="5">
        <v>0.25</v>
      </c>
      <c r="D8" s="5">
        <f t="shared" si="0"/>
        <v>3.125E-2</v>
      </c>
    </row>
    <row r="9" spans="1:9" x14ac:dyDescent="0.25">
      <c r="A9" s="10">
        <v>43363</v>
      </c>
      <c r="B9" s="5" t="s">
        <v>26</v>
      </c>
      <c r="C9" s="5">
        <v>2</v>
      </c>
      <c r="D9" s="5">
        <f t="shared" si="0"/>
        <v>0.25</v>
      </c>
    </row>
    <row r="10" spans="1:9" x14ac:dyDescent="0.25">
      <c r="A10" s="10">
        <v>43369</v>
      </c>
      <c r="B10" s="5" t="s">
        <v>26</v>
      </c>
      <c r="C10" s="5">
        <v>0.5</v>
      </c>
      <c r="D10" s="5">
        <f t="shared" si="0"/>
        <v>6.25E-2</v>
      </c>
    </row>
    <row r="11" spans="1:9" x14ac:dyDescent="0.25">
      <c r="A11" s="10">
        <v>43377</v>
      </c>
      <c r="B11" s="5" t="s">
        <v>26</v>
      </c>
      <c r="C11" s="5">
        <v>0.25</v>
      </c>
      <c r="D11" s="5">
        <f t="shared" si="0"/>
        <v>3.125E-2</v>
      </c>
    </row>
    <row r="12" spans="1:9" x14ac:dyDescent="0.25">
      <c r="A12" s="10">
        <v>43411</v>
      </c>
      <c r="B12" s="5" t="s">
        <v>80</v>
      </c>
      <c r="C12" s="5">
        <v>0.25</v>
      </c>
      <c r="D12" s="5">
        <f t="shared" si="0"/>
        <v>3.125E-2</v>
      </c>
    </row>
    <row r="13" spans="1:9" x14ac:dyDescent="0.25">
      <c r="A13" s="10">
        <v>43513</v>
      </c>
      <c r="B13" s="5" t="s">
        <v>26</v>
      </c>
      <c r="C13" s="5">
        <v>0.5</v>
      </c>
      <c r="D13" s="5">
        <f t="shared" si="0"/>
        <v>6.25E-2</v>
      </c>
    </row>
    <row r="14" spans="1:9" x14ac:dyDescent="0.25">
      <c r="D14" s="5">
        <f t="shared" si="0"/>
        <v>0</v>
      </c>
    </row>
    <row r="15" spans="1:9" x14ac:dyDescent="0.25">
      <c r="D15" s="5">
        <f t="shared" si="0"/>
        <v>0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workbookViewId="0">
      <selection activeCell="A20" sqref="A20:XFD20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95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43252</v>
      </c>
      <c r="B4" s="5" t="s">
        <v>26</v>
      </c>
      <c r="C4" s="5">
        <v>65</v>
      </c>
      <c r="D4" s="5">
        <f t="shared" ref="D4:D67" si="0">C4/8</f>
        <v>8.125</v>
      </c>
    </row>
    <row r="5" spans="1:9" x14ac:dyDescent="0.25">
      <c r="A5" s="10">
        <v>43329</v>
      </c>
      <c r="B5" s="5" t="s">
        <v>58</v>
      </c>
      <c r="C5" s="5">
        <v>16</v>
      </c>
      <c r="D5" s="5">
        <f t="shared" si="0"/>
        <v>2</v>
      </c>
    </row>
    <row r="6" spans="1:9" x14ac:dyDescent="0.25">
      <c r="A6" s="10">
        <v>43332</v>
      </c>
      <c r="B6" s="5" t="s">
        <v>79</v>
      </c>
      <c r="C6" s="5">
        <v>-15.2</v>
      </c>
      <c r="D6" s="5">
        <f t="shared" si="0"/>
        <v>-1.9</v>
      </c>
    </row>
    <row r="7" spans="1:9" x14ac:dyDescent="0.25">
      <c r="A7" s="10">
        <v>43363</v>
      </c>
      <c r="B7" s="5" t="s">
        <v>26</v>
      </c>
      <c r="C7" s="5">
        <v>2</v>
      </c>
      <c r="D7" s="5">
        <f t="shared" si="0"/>
        <v>0.25</v>
      </c>
    </row>
    <row r="8" spans="1:9" x14ac:dyDescent="0.25">
      <c r="A8" s="10">
        <v>43369</v>
      </c>
      <c r="B8" s="5" t="s">
        <v>26</v>
      </c>
      <c r="C8" s="5">
        <v>0.5</v>
      </c>
      <c r="D8" s="5">
        <f t="shared" si="0"/>
        <v>6.25E-2</v>
      </c>
    </row>
    <row r="9" spans="1:9" x14ac:dyDescent="0.25">
      <c r="A9" s="10">
        <v>43378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43474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43513</v>
      </c>
      <c r="B11" s="5" t="s">
        <v>26</v>
      </c>
      <c r="C11" s="5">
        <v>0.5</v>
      </c>
      <c r="D11" s="5">
        <f t="shared" si="0"/>
        <v>6.25E-2</v>
      </c>
    </row>
    <row r="12" spans="1:9" x14ac:dyDescent="0.25">
      <c r="A12" s="10">
        <v>43520</v>
      </c>
      <c r="B12" s="5" t="s">
        <v>88</v>
      </c>
      <c r="C12" s="5">
        <v>0.25</v>
      </c>
      <c r="D12" s="5">
        <f t="shared" si="0"/>
        <v>3.125E-2</v>
      </c>
    </row>
    <row r="13" spans="1:9" x14ac:dyDescent="0.25">
      <c r="A13" s="10">
        <v>43523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43536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43549</v>
      </c>
      <c r="B15" s="5" t="s">
        <v>88</v>
      </c>
      <c r="C15" s="5">
        <v>0.5</v>
      </c>
      <c r="D15" s="5">
        <f t="shared" si="0"/>
        <v>6.25E-2</v>
      </c>
    </row>
    <row r="16" spans="1:9" x14ac:dyDescent="0.25">
      <c r="A16" s="10">
        <v>43550</v>
      </c>
      <c r="B16" s="5" t="s">
        <v>88</v>
      </c>
      <c r="C16" s="5">
        <v>0.5</v>
      </c>
      <c r="D16" s="5">
        <f t="shared" ref="D16:D20" si="1">C16/8</f>
        <v>6.25E-2</v>
      </c>
    </row>
    <row r="17" spans="1:4" x14ac:dyDescent="0.25">
      <c r="A17" s="10">
        <v>43564</v>
      </c>
      <c r="B17" s="5" t="s">
        <v>26</v>
      </c>
      <c r="C17" s="5">
        <v>0.25</v>
      </c>
      <c r="D17" s="5">
        <f t="shared" si="1"/>
        <v>3.125E-2</v>
      </c>
    </row>
    <row r="18" spans="1:4" x14ac:dyDescent="0.25">
      <c r="A18" s="10">
        <v>43566</v>
      </c>
      <c r="B18" s="5" t="s">
        <v>26</v>
      </c>
      <c r="C18" s="5">
        <v>0.25</v>
      </c>
      <c r="D18" s="5">
        <f t="shared" si="1"/>
        <v>3.125E-2</v>
      </c>
    </row>
    <row r="19" spans="1:4" x14ac:dyDescent="0.25">
      <c r="A19" s="10">
        <v>43570</v>
      </c>
      <c r="B19" s="5" t="s">
        <v>88</v>
      </c>
      <c r="C19" s="5">
        <v>0.5</v>
      </c>
      <c r="D19" s="5">
        <f t="shared" si="1"/>
        <v>6.25E-2</v>
      </c>
    </row>
    <row r="20" spans="1:4" x14ac:dyDescent="0.25">
      <c r="A20" s="10">
        <v>43572</v>
      </c>
      <c r="B20" s="5" t="s">
        <v>88</v>
      </c>
      <c r="C20" s="5">
        <v>0.5</v>
      </c>
      <c r="D20" s="5">
        <f t="shared" si="1"/>
        <v>6.25E-2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ref="D68:D79" si="2">C68/8</f>
        <v>0</v>
      </c>
    </row>
    <row r="69" spans="4:4" x14ac:dyDescent="0.25">
      <c r="D69" s="5">
        <f t="shared" si="2"/>
        <v>0</v>
      </c>
    </row>
    <row r="70" spans="4:4" x14ac:dyDescent="0.25">
      <c r="D70" s="5">
        <f t="shared" si="2"/>
        <v>0</v>
      </c>
    </row>
    <row r="71" spans="4:4" x14ac:dyDescent="0.25">
      <c r="D71" s="5">
        <f t="shared" si="2"/>
        <v>0</v>
      </c>
    </row>
    <row r="72" spans="4:4" x14ac:dyDescent="0.25">
      <c r="D72" s="5">
        <f t="shared" si="2"/>
        <v>0</v>
      </c>
    </row>
    <row r="73" spans="4:4" x14ac:dyDescent="0.25">
      <c r="D73" s="5">
        <f t="shared" si="2"/>
        <v>0</v>
      </c>
    </row>
    <row r="74" spans="4:4" x14ac:dyDescent="0.25">
      <c r="D74" s="5">
        <f t="shared" si="2"/>
        <v>0</v>
      </c>
    </row>
    <row r="75" spans="4:4" x14ac:dyDescent="0.25">
      <c r="D75" s="5">
        <f t="shared" si="2"/>
        <v>0</v>
      </c>
    </row>
    <row r="76" spans="4:4" x14ac:dyDescent="0.25">
      <c r="D76" s="5">
        <f t="shared" si="2"/>
        <v>0</v>
      </c>
    </row>
    <row r="77" spans="4:4" x14ac:dyDescent="0.25">
      <c r="D77" s="5">
        <f t="shared" si="2"/>
        <v>0</v>
      </c>
    </row>
    <row r="78" spans="4:4" x14ac:dyDescent="0.25">
      <c r="D78" s="5">
        <f t="shared" si="2"/>
        <v>0</v>
      </c>
    </row>
    <row r="79" spans="4:4" x14ac:dyDescent="0.25">
      <c r="D79" s="5">
        <f t="shared" si="2"/>
        <v>0</v>
      </c>
    </row>
  </sheetData>
  <mergeCells count="1">
    <mergeCell ref="A1:B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workbookViewId="0">
      <selection activeCell="A15" sqref="A15:XFD15"/>
    </sheetView>
  </sheetViews>
  <sheetFormatPr defaultRowHeight="15" x14ac:dyDescent="0.25"/>
  <cols>
    <col min="1" max="1" width="10.7109375" style="1" bestFit="1" customWidth="1"/>
    <col min="2" max="8" width="10.7109375" style="5" customWidth="1"/>
    <col min="9" max="9" width="56.85546875" style="5" customWidth="1"/>
    <col min="10" max="16384" width="9.140625" style="1"/>
  </cols>
  <sheetData>
    <row r="1" spans="1:9" s="2" customFormat="1" ht="48.75" customHeight="1" x14ac:dyDescent="0.4">
      <c r="A1" s="53" t="s">
        <v>0</v>
      </c>
      <c r="B1" s="53"/>
      <c r="C1" s="6">
        <v>96</v>
      </c>
      <c r="D1" s="6"/>
      <c r="E1" s="6"/>
      <c r="F1" s="7"/>
      <c r="G1" s="7"/>
      <c r="H1" s="7"/>
      <c r="I1" s="9" t="s">
        <v>1</v>
      </c>
    </row>
    <row r="2" spans="1:9" x14ac:dyDescent="0.25">
      <c r="A2" s="8"/>
      <c r="B2" s="8"/>
      <c r="C2" s="8"/>
      <c r="D2" s="8"/>
      <c r="E2" s="8"/>
      <c r="F2" s="8"/>
      <c r="G2" s="8"/>
      <c r="H2" s="8"/>
      <c r="I2" s="8"/>
    </row>
    <row r="3" spans="1:9" ht="15.75" thickBot="1" x14ac:dyDescent="0.3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15.75" thickTop="1" x14ac:dyDescent="0.25">
      <c r="A4" s="10">
        <v>43250</v>
      </c>
      <c r="B4" s="5" t="s">
        <v>26</v>
      </c>
      <c r="C4" s="5">
        <v>71</v>
      </c>
      <c r="D4" s="5">
        <f>C4/8</f>
        <v>8.875</v>
      </c>
      <c r="I4" s="5" t="s">
        <v>11</v>
      </c>
    </row>
    <row r="5" spans="1:9" x14ac:dyDescent="0.25">
      <c r="A5" s="10">
        <v>43332</v>
      </c>
      <c r="B5" s="5" t="s">
        <v>79</v>
      </c>
      <c r="C5" s="5">
        <v>-15.2</v>
      </c>
      <c r="D5" s="5">
        <f t="shared" ref="D5:D68" si="0">C5/8</f>
        <v>-1.9</v>
      </c>
    </row>
    <row r="6" spans="1:9" x14ac:dyDescent="0.25">
      <c r="A6" s="10">
        <v>43363</v>
      </c>
      <c r="B6" s="5" t="s">
        <v>26</v>
      </c>
      <c r="C6" s="5">
        <v>4</v>
      </c>
      <c r="D6" s="5">
        <f t="shared" si="0"/>
        <v>0.5</v>
      </c>
    </row>
    <row r="7" spans="1:9" x14ac:dyDescent="0.25">
      <c r="A7" s="10">
        <v>43369</v>
      </c>
      <c r="B7" s="5" t="s">
        <v>26</v>
      </c>
      <c r="C7" s="5">
        <v>0.5</v>
      </c>
      <c r="D7" s="5">
        <f t="shared" si="0"/>
        <v>6.25E-2</v>
      </c>
    </row>
    <row r="8" spans="1:9" x14ac:dyDescent="0.25">
      <c r="A8" s="10">
        <v>43376</v>
      </c>
      <c r="B8" s="5" t="s">
        <v>80</v>
      </c>
      <c r="C8" s="5">
        <v>0.5</v>
      </c>
      <c r="D8" s="5">
        <f t="shared" si="0"/>
        <v>6.25E-2</v>
      </c>
    </row>
    <row r="9" spans="1:9" x14ac:dyDescent="0.25">
      <c r="A9" s="10">
        <v>43418</v>
      </c>
      <c r="B9" s="5" t="s">
        <v>80</v>
      </c>
      <c r="C9" s="5">
        <v>0.5</v>
      </c>
      <c r="D9" s="5">
        <f t="shared" si="0"/>
        <v>6.25E-2</v>
      </c>
    </row>
    <row r="10" spans="1:9" x14ac:dyDescent="0.25">
      <c r="A10" s="10">
        <v>43475</v>
      </c>
      <c r="B10" s="5" t="s">
        <v>80</v>
      </c>
      <c r="C10" s="5">
        <v>0.25</v>
      </c>
      <c r="D10" s="5">
        <f t="shared" si="0"/>
        <v>3.125E-2</v>
      </c>
    </row>
    <row r="11" spans="1:9" x14ac:dyDescent="0.25">
      <c r="A11" s="10">
        <v>43496</v>
      </c>
      <c r="B11" s="5" t="s">
        <v>80</v>
      </c>
      <c r="C11" s="5">
        <v>0.25</v>
      </c>
      <c r="D11" s="5">
        <f t="shared" si="0"/>
        <v>3.125E-2</v>
      </c>
    </row>
    <row r="12" spans="1:9" x14ac:dyDescent="0.25">
      <c r="A12" s="10">
        <v>43513</v>
      </c>
      <c r="B12" s="5" t="s">
        <v>26</v>
      </c>
      <c r="C12" s="5">
        <v>0.5</v>
      </c>
      <c r="D12" s="5">
        <f t="shared" si="0"/>
        <v>6.25E-2</v>
      </c>
    </row>
    <row r="13" spans="1:9" x14ac:dyDescent="0.25">
      <c r="A13" s="10">
        <v>43520</v>
      </c>
      <c r="B13" s="5" t="s">
        <v>88</v>
      </c>
      <c r="C13" s="5">
        <v>0.25</v>
      </c>
      <c r="D13" s="5">
        <f t="shared" si="0"/>
        <v>3.125E-2</v>
      </c>
    </row>
    <row r="14" spans="1:9" x14ac:dyDescent="0.25">
      <c r="A14" s="10">
        <v>43536</v>
      </c>
      <c r="B14" s="5" t="s">
        <v>88</v>
      </c>
      <c r="C14" s="5">
        <v>0.25</v>
      </c>
      <c r="D14" s="5">
        <f t="shared" si="0"/>
        <v>3.125E-2</v>
      </c>
    </row>
    <row r="15" spans="1:9" x14ac:dyDescent="0.25">
      <c r="A15" s="10">
        <v>43566</v>
      </c>
      <c r="B15" s="5" t="s">
        <v>26</v>
      </c>
      <c r="C15" s="5">
        <v>0.25</v>
      </c>
      <c r="D15" s="5">
        <f t="shared" si="0"/>
        <v>3.125E-2</v>
      </c>
    </row>
    <row r="16" spans="1:9" x14ac:dyDescent="0.25">
      <c r="A16" s="10"/>
      <c r="D16" s="5">
        <f t="shared" si="0"/>
        <v>0</v>
      </c>
    </row>
    <row r="17" spans="1:4" x14ac:dyDescent="0.25">
      <c r="A17" s="10"/>
      <c r="D17" s="5">
        <f t="shared" si="0"/>
        <v>0</v>
      </c>
    </row>
    <row r="18" spans="1:4" x14ac:dyDescent="0.25">
      <c r="A18" s="10"/>
      <c r="D18" s="5">
        <f t="shared" si="0"/>
        <v>0</v>
      </c>
    </row>
    <row r="19" spans="1:4" x14ac:dyDescent="0.25">
      <c r="D19" s="5">
        <f t="shared" si="0"/>
        <v>0</v>
      </c>
    </row>
    <row r="20" spans="1:4" x14ac:dyDescent="0.25">
      <c r="D20" s="5">
        <f t="shared" si="0"/>
        <v>0</v>
      </c>
    </row>
    <row r="21" spans="1:4" x14ac:dyDescent="0.25">
      <c r="D21" s="5">
        <f t="shared" si="0"/>
        <v>0</v>
      </c>
    </row>
    <row r="22" spans="1:4" x14ac:dyDescent="0.25">
      <c r="D22" s="5">
        <f t="shared" si="0"/>
        <v>0</v>
      </c>
    </row>
    <row r="23" spans="1:4" x14ac:dyDescent="0.25">
      <c r="D23" s="5">
        <f t="shared" si="0"/>
        <v>0</v>
      </c>
    </row>
    <row r="24" spans="1:4" x14ac:dyDescent="0.25">
      <c r="D24" s="5">
        <f t="shared" si="0"/>
        <v>0</v>
      </c>
    </row>
    <row r="25" spans="1:4" x14ac:dyDescent="0.25">
      <c r="D25" s="5">
        <f t="shared" si="0"/>
        <v>0</v>
      </c>
    </row>
    <row r="26" spans="1:4" x14ac:dyDescent="0.25">
      <c r="D26" s="5">
        <f t="shared" si="0"/>
        <v>0</v>
      </c>
    </row>
    <row r="27" spans="1:4" x14ac:dyDescent="0.25">
      <c r="D27" s="5">
        <f t="shared" si="0"/>
        <v>0</v>
      </c>
    </row>
    <row r="28" spans="1:4" x14ac:dyDescent="0.25">
      <c r="D28" s="5">
        <f t="shared" si="0"/>
        <v>0</v>
      </c>
    </row>
    <row r="29" spans="1:4" x14ac:dyDescent="0.25">
      <c r="D29" s="5">
        <f t="shared" si="0"/>
        <v>0</v>
      </c>
    </row>
    <row r="30" spans="1:4" x14ac:dyDescent="0.25">
      <c r="D30" s="5">
        <f t="shared" si="0"/>
        <v>0</v>
      </c>
    </row>
    <row r="31" spans="1:4" x14ac:dyDescent="0.25">
      <c r="D31" s="5">
        <f t="shared" si="0"/>
        <v>0</v>
      </c>
    </row>
    <row r="32" spans="1:4" x14ac:dyDescent="0.25">
      <c r="D32" s="5">
        <f t="shared" si="0"/>
        <v>0</v>
      </c>
    </row>
    <row r="33" spans="4:4" x14ac:dyDescent="0.25">
      <c r="D33" s="5">
        <f t="shared" si="0"/>
        <v>0</v>
      </c>
    </row>
    <row r="34" spans="4:4" x14ac:dyDescent="0.25">
      <c r="D34" s="5">
        <f t="shared" si="0"/>
        <v>0</v>
      </c>
    </row>
    <row r="35" spans="4:4" x14ac:dyDescent="0.25">
      <c r="D35" s="5">
        <f t="shared" si="0"/>
        <v>0</v>
      </c>
    </row>
    <row r="36" spans="4:4" x14ac:dyDescent="0.25">
      <c r="D36" s="5">
        <f t="shared" si="0"/>
        <v>0</v>
      </c>
    </row>
    <row r="37" spans="4:4" x14ac:dyDescent="0.25">
      <c r="D37" s="5">
        <f t="shared" si="0"/>
        <v>0</v>
      </c>
    </row>
    <row r="38" spans="4:4" x14ac:dyDescent="0.25">
      <c r="D38" s="5">
        <f t="shared" si="0"/>
        <v>0</v>
      </c>
    </row>
    <row r="39" spans="4:4" x14ac:dyDescent="0.25">
      <c r="D39" s="5">
        <f t="shared" si="0"/>
        <v>0</v>
      </c>
    </row>
    <row r="40" spans="4:4" x14ac:dyDescent="0.25">
      <c r="D40" s="5">
        <f t="shared" si="0"/>
        <v>0</v>
      </c>
    </row>
    <row r="41" spans="4:4" x14ac:dyDescent="0.25">
      <c r="D41" s="5">
        <f t="shared" si="0"/>
        <v>0</v>
      </c>
    </row>
    <row r="42" spans="4:4" x14ac:dyDescent="0.25">
      <c r="D42" s="5">
        <f t="shared" si="0"/>
        <v>0</v>
      </c>
    </row>
    <row r="43" spans="4:4" x14ac:dyDescent="0.25">
      <c r="D43" s="5">
        <f t="shared" si="0"/>
        <v>0</v>
      </c>
    </row>
    <row r="44" spans="4:4" x14ac:dyDescent="0.25">
      <c r="D44" s="5">
        <f t="shared" si="0"/>
        <v>0</v>
      </c>
    </row>
    <row r="45" spans="4:4" x14ac:dyDescent="0.25">
      <c r="D45" s="5">
        <f t="shared" si="0"/>
        <v>0</v>
      </c>
    </row>
    <row r="46" spans="4:4" x14ac:dyDescent="0.25">
      <c r="D46" s="5">
        <f t="shared" si="0"/>
        <v>0</v>
      </c>
    </row>
    <row r="47" spans="4:4" x14ac:dyDescent="0.25">
      <c r="D47" s="5">
        <f t="shared" si="0"/>
        <v>0</v>
      </c>
    </row>
    <row r="48" spans="4:4" x14ac:dyDescent="0.25">
      <c r="D48" s="5">
        <f t="shared" si="0"/>
        <v>0</v>
      </c>
    </row>
    <row r="49" spans="4:4" x14ac:dyDescent="0.25">
      <c r="D49" s="5">
        <f t="shared" si="0"/>
        <v>0</v>
      </c>
    </row>
    <row r="50" spans="4:4" x14ac:dyDescent="0.25">
      <c r="D50" s="5">
        <f t="shared" si="0"/>
        <v>0</v>
      </c>
    </row>
    <row r="51" spans="4:4" x14ac:dyDescent="0.25">
      <c r="D51" s="5">
        <f t="shared" si="0"/>
        <v>0</v>
      </c>
    </row>
    <row r="52" spans="4:4" x14ac:dyDescent="0.25">
      <c r="D52" s="5">
        <f t="shared" si="0"/>
        <v>0</v>
      </c>
    </row>
    <row r="53" spans="4:4" x14ac:dyDescent="0.25">
      <c r="D53" s="5">
        <f t="shared" si="0"/>
        <v>0</v>
      </c>
    </row>
    <row r="54" spans="4:4" x14ac:dyDescent="0.25">
      <c r="D54" s="5">
        <f t="shared" si="0"/>
        <v>0</v>
      </c>
    </row>
    <row r="55" spans="4:4" x14ac:dyDescent="0.25">
      <c r="D55" s="5">
        <f t="shared" si="0"/>
        <v>0</v>
      </c>
    </row>
    <row r="56" spans="4:4" x14ac:dyDescent="0.25">
      <c r="D56" s="5">
        <f t="shared" si="0"/>
        <v>0</v>
      </c>
    </row>
    <row r="57" spans="4:4" x14ac:dyDescent="0.25">
      <c r="D57" s="5">
        <f t="shared" si="0"/>
        <v>0</v>
      </c>
    </row>
    <row r="58" spans="4:4" x14ac:dyDescent="0.25">
      <c r="D58" s="5">
        <f t="shared" si="0"/>
        <v>0</v>
      </c>
    </row>
    <row r="59" spans="4:4" x14ac:dyDescent="0.25">
      <c r="D59" s="5">
        <f t="shared" si="0"/>
        <v>0</v>
      </c>
    </row>
    <row r="60" spans="4:4" x14ac:dyDescent="0.25">
      <c r="D60" s="5">
        <f t="shared" si="0"/>
        <v>0</v>
      </c>
    </row>
    <row r="61" spans="4:4" x14ac:dyDescent="0.25">
      <c r="D61" s="5">
        <f t="shared" si="0"/>
        <v>0</v>
      </c>
    </row>
    <row r="62" spans="4:4" x14ac:dyDescent="0.25">
      <c r="D62" s="5">
        <f t="shared" si="0"/>
        <v>0</v>
      </c>
    </row>
    <row r="63" spans="4:4" x14ac:dyDescent="0.25">
      <c r="D63" s="5">
        <f t="shared" si="0"/>
        <v>0</v>
      </c>
    </row>
    <row r="64" spans="4:4" x14ac:dyDescent="0.25">
      <c r="D64" s="5">
        <f t="shared" si="0"/>
        <v>0</v>
      </c>
    </row>
    <row r="65" spans="4:4" x14ac:dyDescent="0.25">
      <c r="D65" s="5">
        <f t="shared" si="0"/>
        <v>0</v>
      </c>
    </row>
    <row r="66" spans="4:4" x14ac:dyDescent="0.25">
      <c r="D66" s="5">
        <f t="shared" si="0"/>
        <v>0</v>
      </c>
    </row>
    <row r="67" spans="4:4" x14ac:dyDescent="0.25">
      <c r="D67" s="5">
        <f t="shared" si="0"/>
        <v>0</v>
      </c>
    </row>
    <row r="68" spans="4:4" x14ac:dyDescent="0.25">
      <c r="D68" s="5">
        <f t="shared" si="0"/>
        <v>0</v>
      </c>
    </row>
    <row r="69" spans="4:4" x14ac:dyDescent="0.25">
      <c r="D69" s="5">
        <f t="shared" ref="D69:D80" si="1">C69/8</f>
        <v>0</v>
      </c>
    </row>
    <row r="70" spans="4:4" x14ac:dyDescent="0.25">
      <c r="D70" s="5">
        <f t="shared" si="1"/>
        <v>0</v>
      </c>
    </row>
    <row r="71" spans="4:4" x14ac:dyDescent="0.25">
      <c r="D71" s="5">
        <f t="shared" si="1"/>
        <v>0</v>
      </c>
    </row>
    <row r="72" spans="4:4" x14ac:dyDescent="0.25">
      <c r="D72" s="5">
        <f t="shared" si="1"/>
        <v>0</v>
      </c>
    </row>
    <row r="73" spans="4:4" x14ac:dyDescent="0.25">
      <c r="D73" s="5">
        <f t="shared" si="1"/>
        <v>0</v>
      </c>
    </row>
    <row r="74" spans="4:4" x14ac:dyDescent="0.25">
      <c r="D74" s="5">
        <f t="shared" si="1"/>
        <v>0</v>
      </c>
    </row>
    <row r="75" spans="4:4" x14ac:dyDescent="0.25">
      <c r="D75" s="5">
        <f t="shared" si="1"/>
        <v>0</v>
      </c>
    </row>
    <row r="76" spans="4:4" x14ac:dyDescent="0.25">
      <c r="D76" s="5">
        <f t="shared" si="1"/>
        <v>0</v>
      </c>
    </row>
    <row r="77" spans="4:4" x14ac:dyDescent="0.25">
      <c r="D77" s="5">
        <f t="shared" si="1"/>
        <v>0</v>
      </c>
    </row>
    <row r="78" spans="4:4" x14ac:dyDescent="0.25">
      <c r="D78" s="5">
        <f t="shared" si="1"/>
        <v>0</v>
      </c>
    </row>
    <row r="79" spans="4:4" x14ac:dyDescent="0.25">
      <c r="D79" s="5">
        <f t="shared" si="1"/>
        <v>0</v>
      </c>
    </row>
    <row r="80" spans="4:4" x14ac:dyDescent="0.25">
      <c r="D80" s="5">
        <f t="shared" si="1"/>
        <v>0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97</vt:i4>
      </vt:variant>
      <vt:variant>
        <vt:lpstr>Named Ranges</vt:lpstr>
      </vt:variant>
      <vt:variant>
        <vt:i4>1</vt:i4>
      </vt:variant>
    </vt:vector>
  </HeadingPairs>
  <TitlesOfParts>
    <vt:vector size="98" baseType="lpstr">
      <vt:lpstr>Summary</vt:lpstr>
      <vt:lpstr>Trode (1)</vt:lpstr>
      <vt:lpstr>Trode (2)</vt:lpstr>
      <vt:lpstr>Trode (3)</vt:lpstr>
      <vt:lpstr>Trode (4)</vt:lpstr>
      <vt:lpstr>Trode (5)</vt:lpstr>
      <vt:lpstr>Trode (6)</vt:lpstr>
      <vt:lpstr>Trode (7)</vt:lpstr>
      <vt:lpstr>Trode (8)</vt:lpstr>
      <vt:lpstr>Trode (9)</vt:lpstr>
      <vt:lpstr>Trode (10)</vt:lpstr>
      <vt:lpstr>Trode (11)</vt:lpstr>
      <vt:lpstr>Trode (12)</vt:lpstr>
      <vt:lpstr>Trode (13)</vt:lpstr>
      <vt:lpstr>Trode (14)</vt:lpstr>
      <vt:lpstr>Trode (15)</vt:lpstr>
      <vt:lpstr>Trode (16)</vt:lpstr>
      <vt:lpstr>Trode (17)</vt:lpstr>
      <vt:lpstr>Trode (18)</vt:lpstr>
      <vt:lpstr>Trode (19)</vt:lpstr>
      <vt:lpstr>Trode (20)</vt:lpstr>
      <vt:lpstr>Trode (21)</vt:lpstr>
      <vt:lpstr>Trode (22)</vt:lpstr>
      <vt:lpstr>Trode (23)</vt:lpstr>
      <vt:lpstr>Trode (24)</vt:lpstr>
      <vt:lpstr>Trode (25)</vt:lpstr>
      <vt:lpstr>Trode (26)</vt:lpstr>
      <vt:lpstr>Trode (27)</vt:lpstr>
      <vt:lpstr>Trode (28)</vt:lpstr>
      <vt:lpstr>Trode (29)</vt:lpstr>
      <vt:lpstr>Trode (30)</vt:lpstr>
      <vt:lpstr>Trode (31)</vt:lpstr>
      <vt:lpstr>Trode (32)</vt:lpstr>
      <vt:lpstr>Trode (33)</vt:lpstr>
      <vt:lpstr>Trode (34)</vt:lpstr>
      <vt:lpstr>Trode (35)</vt:lpstr>
      <vt:lpstr>Trode (36)</vt:lpstr>
      <vt:lpstr>Trode (37)</vt:lpstr>
      <vt:lpstr>Trode (38)</vt:lpstr>
      <vt:lpstr>Trode (39)</vt:lpstr>
      <vt:lpstr>Trode (40)</vt:lpstr>
      <vt:lpstr>Trode (41)</vt:lpstr>
      <vt:lpstr>Trode (42)</vt:lpstr>
      <vt:lpstr>Trode (43)</vt:lpstr>
      <vt:lpstr>Trode (44)</vt:lpstr>
      <vt:lpstr>Trode (45)</vt:lpstr>
      <vt:lpstr>Trode (46)</vt:lpstr>
      <vt:lpstr>Trode (47)</vt:lpstr>
      <vt:lpstr>Trode (48)</vt:lpstr>
      <vt:lpstr>Trode (49)</vt:lpstr>
      <vt:lpstr>Trode (50)</vt:lpstr>
      <vt:lpstr>Trode (51)</vt:lpstr>
      <vt:lpstr>Trode (52)</vt:lpstr>
      <vt:lpstr>Trode (53)</vt:lpstr>
      <vt:lpstr>Trode (54)</vt:lpstr>
      <vt:lpstr>Trode (55)</vt:lpstr>
      <vt:lpstr>Trode (56)</vt:lpstr>
      <vt:lpstr>Trode (57)</vt:lpstr>
      <vt:lpstr>Trode (58)</vt:lpstr>
      <vt:lpstr>Trode (59)</vt:lpstr>
      <vt:lpstr>Trode (60)</vt:lpstr>
      <vt:lpstr>Trode (61)</vt:lpstr>
      <vt:lpstr>Trode (62)</vt:lpstr>
      <vt:lpstr>Trode (63)</vt:lpstr>
      <vt:lpstr>Trode (64)</vt:lpstr>
      <vt:lpstr>Trode (65)</vt:lpstr>
      <vt:lpstr>Trode (66)</vt:lpstr>
      <vt:lpstr>Trode (67)</vt:lpstr>
      <vt:lpstr>Trode (68)</vt:lpstr>
      <vt:lpstr>Trode (69)</vt:lpstr>
      <vt:lpstr>Trode (70)</vt:lpstr>
      <vt:lpstr>Trode (71)</vt:lpstr>
      <vt:lpstr>Trode (72)</vt:lpstr>
      <vt:lpstr>Trode (73)</vt:lpstr>
      <vt:lpstr>Trode (74)</vt:lpstr>
      <vt:lpstr>Trode (75)</vt:lpstr>
      <vt:lpstr>Trode (76)</vt:lpstr>
      <vt:lpstr>Trode (77)</vt:lpstr>
      <vt:lpstr>Trode (78)</vt:lpstr>
      <vt:lpstr>Trode (79)</vt:lpstr>
      <vt:lpstr>Trode (80)</vt:lpstr>
      <vt:lpstr>Trode (81)</vt:lpstr>
      <vt:lpstr>Trode (82)</vt:lpstr>
      <vt:lpstr>Trode (83)</vt:lpstr>
      <vt:lpstr>Trode (84)</vt:lpstr>
      <vt:lpstr>Trode (85)</vt:lpstr>
      <vt:lpstr>Trode (86)</vt:lpstr>
      <vt:lpstr>Trode (87)</vt:lpstr>
      <vt:lpstr>Trode (88)</vt:lpstr>
      <vt:lpstr>Trode (89)</vt:lpstr>
      <vt:lpstr>Trode (90)</vt:lpstr>
      <vt:lpstr>Trode (91)</vt:lpstr>
      <vt:lpstr>Trode (92)</vt:lpstr>
      <vt:lpstr>Trode (93)</vt:lpstr>
      <vt:lpstr>Trode (94)</vt:lpstr>
      <vt:lpstr>Trode (95)</vt:lpstr>
      <vt:lpstr>Trode (96)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cioleary</dc:creator>
  <cp:lastModifiedBy>RBU-LabR5</cp:lastModifiedBy>
  <dcterms:created xsi:type="dcterms:W3CDTF">2018-04-11T18:16:22Z</dcterms:created>
  <dcterms:modified xsi:type="dcterms:W3CDTF">2019-06-05T00:11:43Z</dcterms:modified>
</cp:coreProperties>
</file>