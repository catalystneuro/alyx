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28800" windowHeight="12480" firstSheet="65" activeTab="66"/>
  </bookViews>
  <sheets>
    <sheet name="Summary" sheetId="128" r:id="rId1"/>
    <sheet name="Trode (1)" sheetId="4" r:id="rId2"/>
    <sheet name="Trode (2)" sheetId="5" r:id="rId3"/>
    <sheet name="Trode (3)" sheetId="6" r:id="rId4"/>
    <sheet name="Trode (4)" sheetId="7" r:id="rId5"/>
    <sheet name="Trode (5)" sheetId="8" r:id="rId6"/>
    <sheet name="Trode (6)" sheetId="9" r:id="rId7"/>
    <sheet name="Trode (7)" sheetId="10" r:id="rId8"/>
    <sheet name="Trode (8)" sheetId="11" r:id="rId9"/>
    <sheet name="Trode (9)" sheetId="12" r:id="rId10"/>
    <sheet name="Trode (10)" sheetId="13" r:id="rId11"/>
    <sheet name="Trode (11)" sheetId="14" r:id="rId12"/>
    <sheet name="Trode (12)" sheetId="15" r:id="rId13"/>
    <sheet name="Trode (13)" sheetId="16" r:id="rId14"/>
    <sheet name="Trode (14)" sheetId="17" r:id="rId15"/>
    <sheet name="Trode (15)" sheetId="18" r:id="rId16"/>
    <sheet name="Trode (16)" sheetId="19" r:id="rId17"/>
    <sheet name="Trode (17)" sheetId="20" r:id="rId18"/>
    <sheet name="Trode (18)" sheetId="21" r:id="rId19"/>
    <sheet name="Trode (19)" sheetId="22" r:id="rId20"/>
    <sheet name="Trode (20)" sheetId="23" r:id="rId21"/>
    <sheet name="Trode (21)" sheetId="24" r:id="rId22"/>
    <sheet name="Trode (22)" sheetId="25" r:id="rId23"/>
    <sheet name="Trode (23)" sheetId="26" r:id="rId24"/>
    <sheet name="Trode (24)" sheetId="27" r:id="rId25"/>
    <sheet name="Trode (25)" sheetId="28" r:id="rId26"/>
    <sheet name="Trode (26)" sheetId="29" r:id="rId27"/>
    <sheet name="Trode (27)" sheetId="30" r:id="rId28"/>
    <sheet name="Trode (28)" sheetId="31" r:id="rId29"/>
    <sheet name="Trode (29)" sheetId="32" r:id="rId30"/>
    <sheet name="Trode (30)" sheetId="33" r:id="rId31"/>
    <sheet name="Trode (31)" sheetId="34" r:id="rId32"/>
    <sheet name="Trode (32)" sheetId="35" r:id="rId33"/>
    <sheet name="Trode (33)" sheetId="36" r:id="rId34"/>
    <sheet name="Trode (34)" sheetId="37" r:id="rId35"/>
    <sheet name="Trode (35)" sheetId="38" r:id="rId36"/>
    <sheet name="Trode (36)" sheetId="39" r:id="rId37"/>
    <sheet name="Trode (37)" sheetId="40" r:id="rId38"/>
    <sheet name="Trode (38)" sheetId="41" r:id="rId39"/>
    <sheet name="Trode (39)" sheetId="42" r:id="rId40"/>
    <sheet name="Trode (40)" sheetId="43" r:id="rId41"/>
    <sheet name="Trode (41)" sheetId="44" r:id="rId42"/>
    <sheet name="Trode (42)" sheetId="45" r:id="rId43"/>
    <sheet name="Trode (43)" sheetId="46" r:id="rId44"/>
    <sheet name="Trode (44)" sheetId="47" r:id="rId45"/>
    <sheet name="Trode (45)" sheetId="48" r:id="rId46"/>
    <sheet name="Trode (46)" sheetId="49" r:id="rId47"/>
    <sheet name="Trode (47)" sheetId="50" r:id="rId48"/>
    <sheet name="Trode (48)" sheetId="51" r:id="rId49"/>
    <sheet name="Trode (49)" sheetId="52" r:id="rId50"/>
    <sheet name="Trode (50)" sheetId="53" r:id="rId51"/>
    <sheet name="Trode (51)" sheetId="54" r:id="rId52"/>
    <sheet name="Trode (52)" sheetId="55" r:id="rId53"/>
    <sheet name="Trode (53)" sheetId="56" r:id="rId54"/>
    <sheet name="Trode (54)" sheetId="57" r:id="rId55"/>
    <sheet name="Trode (55)" sheetId="58" r:id="rId56"/>
    <sheet name="Trode (56)" sheetId="59" r:id="rId57"/>
    <sheet name="Trode (57)" sheetId="60" r:id="rId58"/>
    <sheet name="Trode (58)" sheetId="61" r:id="rId59"/>
    <sheet name="Trode (59)" sheetId="62" r:id="rId60"/>
    <sheet name="Trode (60)" sheetId="63" r:id="rId61"/>
    <sheet name="Trode (61)" sheetId="64" r:id="rId62"/>
    <sheet name="Trode (62)" sheetId="65" r:id="rId63"/>
    <sheet name="Trode (63)" sheetId="66" r:id="rId64"/>
    <sheet name="Trode (64)" sheetId="67" r:id="rId65"/>
    <sheet name="Trode (65)" sheetId="68" r:id="rId66"/>
    <sheet name="Trode (66)" sheetId="69" r:id="rId67"/>
    <sheet name="Trode (67)" sheetId="70" r:id="rId68"/>
    <sheet name="Trode (68)" sheetId="71" r:id="rId69"/>
    <sheet name="Trode (69)" sheetId="72" r:id="rId70"/>
    <sheet name="Trode (70)" sheetId="73" r:id="rId71"/>
    <sheet name="Trode (71)" sheetId="74" r:id="rId72"/>
    <sheet name="Trode (72)" sheetId="75" r:id="rId73"/>
    <sheet name="Trode (73)" sheetId="76" r:id="rId74"/>
    <sheet name="Trode (74)" sheetId="77" r:id="rId75"/>
    <sheet name="Trode (75)" sheetId="78" r:id="rId76"/>
    <sheet name="Trode (76)" sheetId="79" r:id="rId77"/>
    <sheet name="Trode (77)" sheetId="80" r:id="rId78"/>
    <sheet name="Trode (78)" sheetId="81" r:id="rId79"/>
    <sheet name="Trode (79)" sheetId="82" r:id="rId80"/>
    <sheet name="Trode (80)" sheetId="83" r:id="rId81"/>
    <sheet name="Trode (81)" sheetId="84" r:id="rId82"/>
    <sheet name="Trode (82)" sheetId="85" r:id="rId83"/>
    <sheet name="Trode (83)" sheetId="86" r:id="rId84"/>
    <sheet name="Trode (84)" sheetId="87" r:id="rId85"/>
    <sheet name="Trode (85)" sheetId="88" r:id="rId86"/>
    <sheet name="Trode (86)" sheetId="89" r:id="rId87"/>
    <sheet name="Trode (87)" sheetId="90" r:id="rId88"/>
    <sheet name="Trode (88)" sheetId="91" r:id="rId89"/>
    <sheet name="Trode (89)" sheetId="92" r:id="rId90"/>
    <sheet name="Trode (90)" sheetId="93" r:id="rId91"/>
    <sheet name="Trode (91)" sheetId="94" r:id="rId92"/>
    <sheet name="Trode (92)" sheetId="95" r:id="rId93"/>
    <sheet name="Trode (93)" sheetId="96" r:id="rId94"/>
    <sheet name="Trode (94)" sheetId="97" r:id="rId95"/>
    <sheet name="Trode (95)" sheetId="98" r:id="rId96"/>
    <sheet name="Trode (96)" sheetId="99" r:id="rId97"/>
  </sheets>
  <definedNames>
    <definedName name="_xlnm.Print_Area" localSheetId="0">Summary!$A$1:$L$79</definedName>
    <definedName name="Sheetnames">REPLACE(GET.WORKBOOK(1),1,FIND("]",GET.WORKBOOK(1)),"")</definedName>
  </definedNames>
  <calcPr calcId="144525"/>
</workbook>
</file>

<file path=xl/sharedStrings.xml><?xml version="1.0" encoding="utf-8"?>
<sst xmlns="http://schemas.openxmlformats.org/spreadsheetml/2006/main" count="2975" uniqueCount="90">
  <si>
    <t>Template Turning Record Summary</t>
  </si>
  <si>
    <t>Moved Electrodes</t>
  </si>
  <si>
    <t>Dist to dorsal HPC</t>
  </si>
  <si>
    <t>Dist to dorsal EC</t>
  </si>
  <si>
    <t>Total to dorsal HPC</t>
  </si>
  <si>
    <t>Total to dorsal EC</t>
  </si>
  <si>
    <t>Electrode Number</t>
  </si>
  <si>
    <t>Turns</t>
  </si>
  <si>
    <t>Distance</t>
  </si>
  <si>
    <t>Max</t>
  </si>
  <si>
    <t>Min</t>
  </si>
  <si>
    <t>Last Turned</t>
  </si>
  <si>
    <t>NaN</t>
  </si>
  <si>
    <t xml:space="preserve"> </t>
  </si>
  <si>
    <t>Electrode:</t>
  </si>
  <si>
    <r>
      <rPr>
        <sz val="11"/>
        <color rgb="FFC00000"/>
        <rFont val="Calibri"/>
        <charset val="134"/>
        <scheme val="minor"/>
      </rPr>
      <t>*For</t>
    </r>
    <r>
      <rPr>
        <b/>
        <sz val="11"/>
        <color rgb="FFC00000"/>
        <rFont val="Calibri"/>
        <charset val="134"/>
        <scheme val="minor"/>
      </rPr>
      <t xml:space="preserve"> Units</t>
    </r>
    <r>
      <rPr>
        <sz val="11"/>
        <color rgb="FFC00000"/>
        <rFont val="Calibri"/>
        <charset val="134"/>
        <scheme val="minor"/>
      </rPr>
      <t xml:space="preserve">, enter 0, 1, or 2 corresponding to 'none', 'few', 'lots'.           *For the </t>
    </r>
    <r>
      <rPr>
        <b/>
        <sz val="11"/>
        <color rgb="FFC00000"/>
        <rFont val="Calibri"/>
        <charset val="134"/>
        <scheme val="minor"/>
      </rPr>
      <t>LFP Bands</t>
    </r>
    <r>
      <rPr>
        <sz val="11"/>
        <color rgb="FFC00000"/>
        <rFont val="Calibri"/>
        <charset val="134"/>
        <scheme val="minor"/>
      </rPr>
      <t xml:space="preserve">, enter the approximate frequency.  </t>
    </r>
    <r>
      <rPr>
        <i/>
        <sz val="11"/>
        <color rgb="FFC00000"/>
        <rFont val="Calibri"/>
        <charset val="134"/>
        <scheme val="minor"/>
      </rPr>
      <t>An entry of 0 indicates flat LFP</t>
    </r>
  </si>
  <si>
    <t>Date</t>
  </si>
  <si>
    <t>Initials</t>
  </si>
  <si>
    <t>Millimeters</t>
  </si>
  <si>
    <t>Impedance</t>
  </si>
  <si>
    <t>Units</t>
  </si>
  <si>
    <t>LFP Band 1</t>
  </si>
  <si>
    <t>LFP Band 2</t>
  </si>
  <si>
    <t>Notes</t>
  </si>
  <si>
    <t xml:space="preserve">Team </t>
  </si>
  <si>
    <t>SAS</t>
  </si>
  <si>
    <t>offset</t>
  </si>
  <si>
    <t>AD</t>
  </si>
  <si>
    <t>SA</t>
  </si>
  <si>
    <t>BP</t>
  </si>
  <si>
    <t xml:space="preserve">Continuous hash through turning. </t>
  </si>
  <si>
    <t>rover day.  Lowered 40 turns, retracted 60.</t>
  </si>
  <si>
    <t>Blind turning</t>
  </si>
  <si>
    <t xml:space="preserve">Electrode lost contact around 25 turns but was able to bring it back and end in a cell area with heavy hash. </t>
  </si>
  <si>
    <t xml:space="preserve">Accidentally drove electrode down 12 turns, retracted 6. Net 6 turns. </t>
  </si>
  <si>
    <t>never found cells!</t>
  </si>
  <si>
    <t>no</t>
  </si>
  <si>
    <t>sedated.  Impedance dropped so guessing it's through, but quiet.</t>
  </si>
  <si>
    <t>hash?</t>
  </si>
  <si>
    <t>yes</t>
  </si>
  <si>
    <t>sedated.  Cell!</t>
  </si>
  <si>
    <t>Surgery</t>
  </si>
  <si>
    <t>sedated.  Cell, 60 drop while turning</t>
  </si>
  <si>
    <t>sedated. Cell!</t>
  </si>
  <si>
    <t>sedated.  Killed cell, hash.</t>
  </si>
  <si>
    <t>spikes!</t>
  </si>
  <si>
    <t>sedated.  Cell</t>
  </si>
  <si>
    <t>spikes</t>
  </si>
  <si>
    <t>sedated.  Impedance began at 2 and fell to 1.2 atthis position.  Cell</t>
  </si>
  <si>
    <t xml:space="preserve">stabilant </t>
  </si>
  <si>
    <t>sedated.  Cell very sparse</t>
  </si>
  <si>
    <t>sedated.  Spikes!</t>
  </si>
  <si>
    <t>found cells!</t>
  </si>
  <si>
    <t xml:space="preserve">impedence check--electrode in brain </t>
  </si>
  <si>
    <t>sedated.  Impedance suggests through, but quiet.</t>
  </si>
  <si>
    <t xml:space="preserve">Difficult to seat </t>
  </si>
  <si>
    <t>cells</t>
  </si>
  <si>
    <t>sedated, cell</t>
  </si>
  <si>
    <t xml:space="preserve">Sounded/felt rattley for all of turning </t>
  </si>
  <si>
    <t xml:space="preserve">Stabilant </t>
  </si>
  <si>
    <t>found cells</t>
  </si>
  <si>
    <t xml:space="preserve">sedated. quiet but impedance dropped.  Leaving. </t>
  </si>
  <si>
    <t>sedated.  Hashy + cell death.</t>
  </si>
  <si>
    <t xml:space="preserve">difficult to seat screwdriver </t>
  </si>
  <si>
    <t>blind turning</t>
  </si>
  <si>
    <t>sedated.  Super quiet.</t>
  </si>
  <si>
    <t xml:space="preserve">Got hella stiff on the last turn </t>
  </si>
  <si>
    <t xml:space="preserve">Blind turning </t>
  </si>
  <si>
    <t>sedated.  Cells</t>
  </si>
  <si>
    <t xml:space="preserve">blind turning </t>
  </si>
  <si>
    <t>rovered 100 turns down and 115 back up. Electrode may have died at the 98th turn of retraction.</t>
  </si>
  <si>
    <t>a</t>
  </si>
  <si>
    <t>No cells at 48 turns</t>
  </si>
  <si>
    <t xml:space="preserve">A lot of 60 hz, stopped at 42 turns </t>
  </si>
  <si>
    <t xml:space="preserve">A bit stiff at start </t>
  </si>
  <si>
    <t xml:space="preserve">Stiff at start </t>
  </si>
  <si>
    <t xml:space="preserve">Some hash at start, no change through 64 turns </t>
  </si>
  <si>
    <t xml:space="preserve">A bit hashy at the start of turning but quiet through 72 turns </t>
  </si>
  <si>
    <t>sedated.  Cell!  Quickly lost, followed by hash.  Then cell again.</t>
  </si>
  <si>
    <t xml:space="preserve">Listened. Quiet through turning </t>
  </si>
  <si>
    <t>sedated.  Killed a cell!</t>
  </si>
  <si>
    <t xml:space="preserve">Heard cells from at turn 5, stopped at turn 7. </t>
  </si>
  <si>
    <t>sedated.  Cells!</t>
  </si>
  <si>
    <t>sedated.  Little hash, in.</t>
  </si>
  <si>
    <t>got spikes!</t>
  </si>
  <si>
    <t>sedated. Cell, disappeared quickly</t>
  </si>
  <si>
    <t>sedated.  Very hashy, quiet cell in there.</t>
  </si>
  <si>
    <t xml:space="preserve">Hashy at start, a few dying cells until 5th turn. Multiple units and continued cell activity until 12 turns. </t>
  </si>
  <si>
    <t>Heard cells through turning.</t>
  </si>
  <si>
    <t xml:space="preserve">Cells through 23 turns. </t>
  </si>
</sst>
</file>

<file path=xl/styles.xml><?xml version="1.0" encoding="utf-8"?>
<styleSheet xmlns="http://schemas.openxmlformats.org/spreadsheetml/2006/main">
  <numFmts count="4">
    <numFmt numFmtId="41" formatCode="_-* #,##0_-;\-* #,##0_-;_-* &quot;-&quot;_-;_-@_-"/>
    <numFmt numFmtId="44" formatCode="_-&quot;£&quot;* #,##0.00_-;\-&quot;£&quot;* #,##0.00_-;_-&quot;£&quot;* &quot;-&quot;??_-;_-@_-"/>
    <numFmt numFmtId="43" formatCode="_-* #,##0.00_-;\-* #,##0.00_-;_-* &quot;-&quot;??_-;_-@_-"/>
    <numFmt numFmtId="42" formatCode="_-&quot;£&quot;* #,##0_-;\-&quot;£&quot;* #,##0_-;_-&quot;£&quot;* &quot;-&quot;_-;_-@_-"/>
  </numFmts>
  <fonts count="30">
    <font>
      <sz val="11"/>
      <color theme="1"/>
      <name val="Calibri"/>
      <charset val="134"/>
      <scheme val="minor"/>
    </font>
    <font>
      <sz val="20"/>
      <color theme="1"/>
      <name val="Calibri"/>
      <charset val="134"/>
      <scheme val="minor"/>
    </font>
    <font>
      <sz val="11"/>
      <color rgb="FFC00000"/>
      <name val="Calibri"/>
      <charset val="134"/>
      <scheme val="minor"/>
    </font>
    <font>
      <sz val="14"/>
      <color theme="1"/>
      <name val="Calibri"/>
      <charset val="134"/>
      <scheme val="minor"/>
    </font>
    <font>
      <sz val="28"/>
      <color theme="1"/>
      <name val="Calibri"/>
      <charset val="134"/>
      <scheme val="minor"/>
    </font>
    <font>
      <sz val="1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sz val="11"/>
      <color rgb="FFFF0000"/>
      <name val="Calibri"/>
      <charset val="134"/>
      <scheme val="minor"/>
    </font>
    <font>
      <b/>
      <sz val="18"/>
      <color theme="3"/>
      <name val="Calibri"/>
      <charset val="134"/>
      <scheme val="minor"/>
    </font>
    <font>
      <sz val="11"/>
      <color theme="1"/>
      <name val="Calibri"/>
      <charset val="134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5"/>
      <color theme="3"/>
      <name val="Calibri"/>
      <charset val="134"/>
      <scheme val="minor"/>
    </font>
    <font>
      <sz val="11"/>
      <color rgb="FF0061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theme="1"/>
      <name val="Calibri"/>
      <charset val="0"/>
      <scheme val="minor"/>
    </font>
    <font>
      <b/>
      <sz val="11"/>
      <color theme="3"/>
      <name val="Calibri"/>
      <charset val="134"/>
      <scheme val="minor"/>
    </font>
    <font>
      <sz val="11"/>
      <color rgb="FFFA7D00"/>
      <name val="Calibri"/>
      <charset val="0"/>
      <scheme val="minor"/>
    </font>
    <font>
      <sz val="11"/>
      <color rgb="FF3F3F76"/>
      <name val="Calibri"/>
      <charset val="0"/>
      <scheme val="minor"/>
    </font>
    <font>
      <sz val="11"/>
      <color rgb="FF9C6500"/>
      <name val="Calibri"/>
      <charset val="0"/>
      <scheme val="minor"/>
    </font>
    <font>
      <i/>
      <sz val="11"/>
      <color rgb="FF7F7F7F"/>
      <name val="Calibri"/>
      <charset val="0"/>
      <scheme val="minor"/>
    </font>
    <font>
      <u/>
      <sz val="11"/>
      <color rgb="FF0000FF"/>
      <name val="Calibri"/>
      <charset val="0"/>
      <scheme val="minor"/>
    </font>
    <font>
      <sz val="11"/>
      <color rgb="FF9C0006"/>
      <name val="Calibri"/>
      <charset val="0"/>
      <scheme val="minor"/>
    </font>
    <font>
      <b/>
      <sz val="13"/>
      <color theme="3"/>
      <name val="Calibri"/>
      <charset val="134"/>
      <scheme val="minor"/>
    </font>
    <font>
      <b/>
      <sz val="11"/>
      <color rgb="FFC00000"/>
      <name val="Calibri"/>
      <charset val="134"/>
      <scheme val="minor"/>
    </font>
    <font>
      <i/>
      <sz val="11"/>
      <color rgb="FFC00000"/>
      <name val="Calibri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 tint="-0.349986266670736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8">
    <border>
      <left/>
      <right/>
      <top/>
      <bottom/>
      <diagonal/>
    </border>
    <border>
      <left style="thin">
        <color auto="true"/>
      </left>
      <right/>
      <top/>
      <bottom/>
      <diagonal/>
    </border>
    <border>
      <left/>
      <right/>
      <top style="thin">
        <color auto="true"/>
      </top>
      <bottom style="double">
        <color auto="true"/>
      </bottom>
      <diagonal/>
    </border>
    <border>
      <left style="thin">
        <color auto="true"/>
      </left>
      <right/>
      <top style="thin">
        <color auto="true"/>
      </top>
      <bottom style="double">
        <color auto="true"/>
      </bottom>
      <diagonal/>
    </border>
    <border>
      <left style="medium">
        <color auto="true"/>
      </left>
      <right/>
      <top style="medium">
        <color auto="true"/>
      </top>
      <bottom style="medium">
        <color auto="true"/>
      </bottom>
      <diagonal/>
    </border>
    <border>
      <left/>
      <right/>
      <top style="medium">
        <color auto="true"/>
      </top>
      <bottom style="medium">
        <color auto="true"/>
      </bottom>
      <diagonal/>
    </border>
    <border>
      <left style="medium">
        <color auto="true"/>
      </left>
      <right/>
      <top/>
      <bottom/>
      <diagonal/>
    </border>
    <border>
      <left/>
      <right style="medium">
        <color auto="true"/>
      </right>
      <top style="medium">
        <color auto="true"/>
      </top>
      <bottom style="medium">
        <color auto="true"/>
      </bottom>
      <diagonal/>
    </border>
    <border>
      <left style="double">
        <color auto="true"/>
      </left>
      <right/>
      <top style="medium">
        <color auto="true"/>
      </top>
      <bottom style="medium">
        <color auto="true"/>
      </bottom>
      <diagonal/>
    </border>
    <border>
      <left style="thin">
        <color auto="true"/>
      </left>
      <right style="medium">
        <color auto="true"/>
      </right>
      <top style="medium">
        <color auto="true"/>
      </top>
      <bottom style="medium">
        <color auto="true"/>
      </bottom>
      <diagonal/>
    </border>
    <border>
      <left style="thin">
        <color auto="true"/>
      </left>
      <right/>
      <top style="medium">
        <color auto="true"/>
      </top>
      <bottom style="medium">
        <color auto="true"/>
      </bottom>
      <diagonal/>
    </border>
    <border>
      <left style="thin">
        <color auto="true"/>
      </left>
      <right style="medium">
        <color auto="true"/>
      </right>
      <top/>
      <bottom/>
      <diagonal/>
    </border>
    <border>
      <left style="double">
        <color auto="true"/>
      </left>
      <right/>
      <top/>
      <bottom/>
      <diagonal/>
    </border>
    <border>
      <left/>
      <right style="medium">
        <color auto="true"/>
      </right>
      <top/>
      <bottom/>
      <diagonal/>
    </border>
    <border>
      <left style="medium">
        <color auto="true"/>
      </left>
      <right/>
      <top/>
      <bottom style="medium">
        <color auto="true"/>
      </bottom>
      <diagonal/>
    </border>
    <border>
      <left/>
      <right style="medium">
        <color auto="true"/>
      </right>
      <top/>
      <bottom style="medium">
        <color auto="true"/>
      </bottom>
      <diagonal/>
    </border>
    <border>
      <left style="medium">
        <color auto="true"/>
      </left>
      <right/>
      <top style="medium">
        <color auto="true"/>
      </top>
      <bottom/>
      <diagonal/>
    </border>
    <border>
      <left/>
      <right/>
      <top style="medium">
        <color auto="true"/>
      </top>
      <bottom/>
      <diagonal/>
    </border>
    <border>
      <left style="double">
        <color auto="true"/>
      </left>
      <right style="thin">
        <color auto="true"/>
      </right>
      <top/>
      <bottom style="medium">
        <color auto="true"/>
      </bottom>
      <diagonal/>
    </border>
    <border>
      <left style="thin">
        <color auto="true"/>
      </left>
      <right style="medium">
        <color auto="true"/>
      </right>
      <top/>
      <bottom style="medium">
        <color auto="true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9">
    <xf numFmtId="0" fontId="0" fillId="0" borderId="0"/>
    <xf numFmtId="0" fontId="10" fillId="33" borderId="0" applyNumberFormat="false" applyBorder="false" applyAlignment="false" applyProtection="false">
      <alignment vertical="center"/>
    </xf>
    <xf numFmtId="0" fontId="11" fillId="32" borderId="0" applyNumberFormat="false" applyBorder="false" applyAlignment="false" applyProtection="false">
      <alignment vertical="center"/>
    </xf>
    <xf numFmtId="0" fontId="10" fillId="28" borderId="0" applyNumberFormat="false" applyBorder="false" applyAlignment="false" applyProtection="false">
      <alignment vertical="center"/>
    </xf>
    <xf numFmtId="0" fontId="10" fillId="23" borderId="0" applyNumberFormat="false" applyBorder="false" applyAlignment="false" applyProtection="false">
      <alignment vertical="center"/>
    </xf>
    <xf numFmtId="0" fontId="11" fillId="6" borderId="0" applyNumberFormat="false" applyBorder="false" applyAlignment="false" applyProtection="false">
      <alignment vertical="center"/>
    </xf>
    <xf numFmtId="0" fontId="11" fillId="14" borderId="0" applyNumberFormat="false" applyBorder="false" applyAlignment="false" applyProtection="false">
      <alignment vertical="center"/>
    </xf>
    <xf numFmtId="0" fontId="10" fillId="25" borderId="0" applyNumberFormat="false" applyBorder="false" applyAlignment="false" applyProtection="false">
      <alignment vertical="center"/>
    </xf>
    <xf numFmtId="0" fontId="10" fillId="26" borderId="0" applyNumberFormat="false" applyBorder="false" applyAlignment="false" applyProtection="false">
      <alignment vertical="center"/>
    </xf>
    <xf numFmtId="0" fontId="11" fillId="24" borderId="0" applyNumberFormat="false" applyBorder="false" applyAlignment="false" applyProtection="false">
      <alignment vertical="center"/>
    </xf>
    <xf numFmtId="0" fontId="10" fillId="30" borderId="0" applyNumberFormat="false" applyBorder="false" applyAlignment="false" applyProtection="false">
      <alignment vertical="center"/>
    </xf>
    <xf numFmtId="0" fontId="21" fillId="0" borderId="26" applyNumberFormat="false" applyFill="false" applyAlignment="false" applyProtection="false">
      <alignment vertical="center"/>
    </xf>
    <xf numFmtId="0" fontId="11" fillId="9" borderId="0" applyNumberFormat="false" applyBorder="false" applyAlignment="false" applyProtection="false">
      <alignment vertical="center"/>
    </xf>
    <xf numFmtId="0" fontId="10" fillId="17" borderId="0" applyNumberFormat="false" applyBorder="false" applyAlignment="false" applyProtection="false">
      <alignment vertical="center"/>
    </xf>
    <xf numFmtId="0" fontId="10" fillId="12" borderId="0" applyNumberFormat="false" applyBorder="false" applyAlignment="false" applyProtection="false">
      <alignment vertical="center"/>
    </xf>
    <xf numFmtId="0" fontId="11" fillId="4" borderId="0" applyNumberFormat="false" applyBorder="false" applyAlignment="false" applyProtection="false">
      <alignment vertical="center"/>
    </xf>
    <xf numFmtId="0" fontId="11" fillId="18" borderId="0" applyNumberFormat="false" applyBorder="false" applyAlignment="false" applyProtection="false">
      <alignment vertical="center"/>
    </xf>
    <xf numFmtId="0" fontId="10" fillId="20" borderId="0" applyNumberFormat="false" applyBorder="false" applyAlignment="false" applyProtection="false">
      <alignment vertical="center"/>
    </xf>
    <xf numFmtId="0" fontId="11" fillId="13" borderId="0" applyNumberFormat="false" applyBorder="false" applyAlignment="false" applyProtection="false">
      <alignment vertical="center"/>
    </xf>
    <xf numFmtId="0" fontId="11" fillId="29" borderId="0" applyNumberFormat="false" applyBorder="false" applyAlignment="false" applyProtection="false">
      <alignment vertical="center"/>
    </xf>
    <xf numFmtId="0" fontId="10" fillId="15" borderId="0" applyNumberFormat="false" applyBorder="false" applyAlignment="false" applyProtection="false">
      <alignment vertical="center"/>
    </xf>
    <xf numFmtId="0" fontId="23" fillId="21" borderId="0" applyNumberFormat="false" applyBorder="false" applyAlignment="false" applyProtection="false">
      <alignment vertical="center"/>
    </xf>
    <xf numFmtId="0" fontId="10" fillId="22" borderId="0" applyNumberFormat="false" applyBorder="false" applyAlignment="false" applyProtection="false">
      <alignment vertical="center"/>
    </xf>
    <xf numFmtId="0" fontId="26" fillId="31" borderId="0" applyNumberFormat="false" applyBorder="false" applyAlignment="false" applyProtection="false">
      <alignment vertical="center"/>
    </xf>
    <xf numFmtId="0" fontId="11" fillId="16" borderId="0" applyNumberFormat="false" applyBorder="false" applyAlignment="false" applyProtection="false">
      <alignment vertical="center"/>
    </xf>
    <xf numFmtId="0" fontId="19" fillId="0" borderId="24" applyNumberFormat="false" applyFill="false" applyAlignment="false" applyProtection="false">
      <alignment vertical="center"/>
    </xf>
    <xf numFmtId="0" fontId="18" fillId="10" borderId="23" applyNumberFormat="false" applyAlignment="false" applyProtection="false">
      <alignment vertical="center"/>
    </xf>
    <xf numFmtId="44" fontId="9" fillId="0" borderId="0" applyFont="false" applyFill="false" applyBorder="false" applyAlignment="false" applyProtection="false">
      <alignment vertical="center"/>
    </xf>
    <xf numFmtId="0" fontId="11" fillId="11" borderId="0" applyNumberFormat="false" applyBorder="false" applyAlignment="false" applyProtection="false">
      <alignment vertical="center"/>
    </xf>
    <xf numFmtId="0" fontId="9" fillId="27" borderId="27" applyNumberFormat="false" applyFont="false" applyAlignment="false" applyProtection="false">
      <alignment vertical="center"/>
    </xf>
    <xf numFmtId="0" fontId="22" fillId="19" borderId="22" applyNumberFormat="false" applyAlignment="false" applyProtection="false">
      <alignment vertical="center"/>
    </xf>
    <xf numFmtId="0" fontId="20" fillId="0" borderId="0" applyNumberFormat="false" applyFill="false" applyBorder="false" applyAlignment="false" applyProtection="false">
      <alignment vertical="center"/>
    </xf>
    <xf numFmtId="0" fontId="17" fillId="10" borderId="22" applyNumberFormat="false" applyAlignment="false" applyProtection="false">
      <alignment vertical="center"/>
    </xf>
    <xf numFmtId="0" fontId="15" fillId="7" borderId="0" applyNumberFormat="false" applyBorder="false" applyAlignment="false" applyProtection="false">
      <alignment vertical="center"/>
    </xf>
    <xf numFmtId="0" fontId="20" fillId="0" borderId="25" applyNumberFormat="false" applyFill="false" applyAlignment="false" applyProtection="false">
      <alignment vertical="center"/>
    </xf>
    <xf numFmtId="0" fontId="24" fillId="0" borderId="0" applyNumberFormat="false" applyFill="false" applyBorder="false" applyAlignment="false" applyProtection="false">
      <alignment vertical="center"/>
    </xf>
    <xf numFmtId="0" fontId="14" fillId="0" borderId="20" applyNumberFormat="false" applyFill="false" applyAlignment="false" applyProtection="false">
      <alignment vertical="center"/>
    </xf>
    <xf numFmtId="41" fontId="9" fillId="0" borderId="0" applyFont="false" applyFill="false" applyBorder="false" applyAlignment="false" applyProtection="false">
      <alignment vertical="center"/>
    </xf>
    <xf numFmtId="0" fontId="11" fillId="5" borderId="0" applyNumberFormat="false" applyBorder="false" applyAlignment="false" applyProtection="false">
      <alignment vertical="center"/>
    </xf>
    <xf numFmtId="0" fontId="8" fillId="0" borderId="0" applyNumberFormat="false" applyFill="false" applyBorder="false" applyAlignment="false" applyProtection="false">
      <alignment vertical="center"/>
    </xf>
    <xf numFmtId="42" fontId="9" fillId="0" borderId="0" applyFont="false" applyFill="false" applyBorder="false" applyAlignment="false" applyProtection="false">
      <alignment vertical="center"/>
    </xf>
    <xf numFmtId="0" fontId="13" fillId="0" borderId="0" applyNumberFormat="false" applyFill="false" applyBorder="false" applyAlignment="false" applyProtection="false">
      <alignment vertical="center"/>
    </xf>
    <xf numFmtId="0" fontId="12" fillId="0" borderId="0" applyNumberFormat="false" applyFill="false" applyBorder="false" applyAlignment="false" applyProtection="false">
      <alignment vertical="center"/>
    </xf>
    <xf numFmtId="0" fontId="27" fillId="0" borderId="20" applyNumberFormat="false" applyFill="false" applyAlignment="false" applyProtection="false">
      <alignment vertical="center"/>
    </xf>
    <xf numFmtId="43" fontId="9" fillId="0" borderId="0" applyFont="false" applyFill="false" applyBorder="false" applyAlignment="false" applyProtection="false">
      <alignment vertical="center"/>
    </xf>
    <xf numFmtId="0" fontId="16" fillId="8" borderId="21" applyNumberFormat="false" applyAlignment="false" applyProtection="false">
      <alignment vertical="center"/>
    </xf>
    <xf numFmtId="0" fontId="10" fillId="3" borderId="0" applyNumberFormat="false" applyBorder="false" applyAlignment="false" applyProtection="false">
      <alignment vertical="center"/>
    </xf>
    <xf numFmtId="9" fontId="9" fillId="0" borderId="0" applyFont="false" applyFill="false" applyBorder="false" applyAlignment="false" applyProtection="false">
      <alignment vertical="center"/>
    </xf>
    <xf numFmtId="0" fontId="25" fillId="0" borderId="0" applyNumberFormat="false" applyFill="false" applyBorder="false" applyAlignment="false" applyProtection="false">
      <alignment vertical="center"/>
    </xf>
  </cellStyleXfs>
  <cellXfs count="53">
    <xf numFmtId="0" fontId="0" fillId="0" borderId="0" xfId="0"/>
    <xf numFmtId="0" fontId="1" fillId="0" borderId="0" xfId="0" applyFont="true"/>
    <xf numFmtId="0" fontId="0" fillId="0" borderId="1" xfId="0" applyBorder="true"/>
    <xf numFmtId="0" fontId="1" fillId="0" borderId="0" xfId="0" applyFont="true" applyBorder="true" applyAlignment="true">
      <alignment horizontal="center"/>
    </xf>
    <xf numFmtId="0" fontId="1" fillId="0" borderId="0" xfId="0" applyFont="true" applyBorder="true" applyAlignment="true">
      <alignment horizontal="left"/>
    </xf>
    <xf numFmtId="0" fontId="0" fillId="0" borderId="0" xfId="0" applyBorder="true"/>
    <xf numFmtId="0" fontId="0" fillId="0" borderId="2" xfId="0" applyBorder="true"/>
    <xf numFmtId="0" fontId="0" fillId="0" borderId="3" xfId="0" applyBorder="true"/>
    <xf numFmtId="58" fontId="0" fillId="0" borderId="0" xfId="0" applyNumberFormat="true"/>
    <xf numFmtId="0" fontId="1" fillId="0" borderId="0" xfId="0" applyFont="true" applyBorder="true"/>
    <xf numFmtId="0" fontId="2" fillId="0" borderId="0" xfId="0" applyFont="true" applyBorder="true" applyAlignment="true">
      <alignment wrapText="true"/>
    </xf>
    <xf numFmtId="0" fontId="3" fillId="0" borderId="0" xfId="0" applyFont="true"/>
    <xf numFmtId="0" fontId="0" fillId="0" borderId="0" xfId="0" applyBorder="true" applyAlignment="true">
      <alignment horizontal="center"/>
    </xf>
    <xf numFmtId="0" fontId="0" fillId="0" borderId="0" xfId="0" applyBorder="true" applyAlignment="true">
      <alignment horizontal="right"/>
    </xf>
    <xf numFmtId="0" fontId="0" fillId="0" borderId="0" xfId="0" applyFont="true"/>
    <xf numFmtId="58" fontId="0" fillId="0" borderId="0" xfId="0" applyNumberFormat="true" applyFont="true" applyAlignment="true">
      <alignment horizontal="center"/>
    </xf>
    <xf numFmtId="0" fontId="4" fillId="0" borderId="0" xfId="0" applyFont="true" applyBorder="true" applyAlignment="true">
      <alignment horizontal="left"/>
    </xf>
    <xf numFmtId="0" fontId="3" fillId="0" borderId="0" xfId="0" applyFont="true" applyBorder="true" applyAlignment="true">
      <alignment horizontal="center"/>
    </xf>
    <xf numFmtId="0" fontId="3" fillId="0" borderId="0" xfId="0" applyFont="true" applyBorder="true"/>
    <xf numFmtId="0" fontId="3" fillId="0" borderId="4" xfId="0" applyFont="true" applyFill="true" applyBorder="true" applyAlignment="true">
      <alignment horizontal="center"/>
    </xf>
    <xf numFmtId="0" fontId="3" fillId="0" borderId="4" xfId="0" applyFont="true" applyBorder="true" applyAlignment="true">
      <alignment horizontal="center"/>
    </xf>
    <xf numFmtId="0" fontId="3" fillId="0" borderId="5" xfId="0" applyFont="true" applyBorder="true" applyAlignment="true">
      <alignment horizontal="center"/>
    </xf>
    <xf numFmtId="0" fontId="0" fillId="2" borderId="6" xfId="0" applyFill="true" applyBorder="true" applyAlignment="true">
      <alignment horizontal="center"/>
    </xf>
    <xf numFmtId="0" fontId="5" fillId="0" borderId="6" xfId="0" applyFont="true" applyFill="true" applyBorder="true" applyAlignment="true">
      <alignment horizontal="right"/>
    </xf>
    <xf numFmtId="0" fontId="5" fillId="0" borderId="0" xfId="0" applyFont="true" applyFill="true" applyBorder="true"/>
    <xf numFmtId="2" fontId="0" fillId="0" borderId="6" xfId="0" applyNumberFormat="true" applyFill="true" applyBorder="true" applyAlignment="true">
      <alignment horizontal="center"/>
    </xf>
    <xf numFmtId="0" fontId="0" fillId="0" borderId="6" xfId="0" applyFill="true" applyBorder="true" applyAlignment="true">
      <alignment horizontal="center"/>
    </xf>
    <xf numFmtId="0" fontId="0" fillId="0" borderId="6" xfId="0" applyFill="true" applyBorder="true" applyAlignment="true">
      <alignment horizontal="right"/>
    </xf>
    <xf numFmtId="0" fontId="0" fillId="0" borderId="0" xfId="0" applyFill="true" applyBorder="true"/>
    <xf numFmtId="0" fontId="3" fillId="0" borderId="7" xfId="0" applyFont="true" applyFill="true" applyBorder="true" applyAlignment="true">
      <alignment horizontal="center"/>
    </xf>
    <xf numFmtId="0" fontId="3" fillId="0" borderId="5" xfId="0" applyFont="true" applyFill="true" applyBorder="true" applyAlignment="true">
      <alignment horizontal="center"/>
    </xf>
    <xf numFmtId="0" fontId="3" fillId="0" borderId="8" xfId="0" applyFont="true" applyFill="true" applyBorder="true" applyAlignment="true">
      <alignment horizontal="center"/>
    </xf>
    <xf numFmtId="0" fontId="3" fillId="0" borderId="9" xfId="0" applyFont="true" applyFill="true" applyBorder="true" applyAlignment="true">
      <alignment horizontal="center"/>
    </xf>
    <xf numFmtId="0" fontId="3" fillId="0" borderId="10" xfId="0" applyFont="true" applyFill="true" applyBorder="true" applyAlignment="true">
      <alignment horizontal="center"/>
    </xf>
    <xf numFmtId="0" fontId="3" fillId="0" borderId="8" xfId="0" applyFont="true" applyBorder="true" applyAlignment="true">
      <alignment horizontal="center"/>
    </xf>
    <xf numFmtId="2" fontId="0" fillId="0" borderId="11" xfId="0" applyNumberFormat="true" applyFont="true" applyBorder="true" applyAlignment="true">
      <alignment horizontal="center"/>
    </xf>
    <xf numFmtId="2" fontId="0" fillId="0" borderId="12" xfId="0" applyNumberFormat="true" applyFill="true" applyBorder="true" applyAlignment="true">
      <alignment horizontal="center"/>
    </xf>
    <xf numFmtId="58" fontId="3" fillId="0" borderId="0" xfId="0" applyNumberFormat="true" applyFont="true" applyAlignment="true">
      <alignment horizontal="center"/>
    </xf>
    <xf numFmtId="58" fontId="3" fillId="0" borderId="7" xfId="0" applyNumberFormat="true" applyFont="true" applyFill="true" applyBorder="true" applyAlignment="true">
      <alignment horizontal="center"/>
    </xf>
    <xf numFmtId="58" fontId="0" fillId="0" borderId="13" xfId="0" applyNumberFormat="true" applyFont="true" applyBorder="true" applyAlignment="true">
      <alignment horizontal="center"/>
    </xf>
    <xf numFmtId="0" fontId="6" fillId="0" borderId="0" xfId="0" applyFont="true"/>
    <xf numFmtId="0" fontId="7" fillId="0" borderId="0" xfId="0" applyFont="true"/>
    <xf numFmtId="0" fontId="0" fillId="0" borderId="14" xfId="0" applyFill="true" applyBorder="true" applyAlignment="true">
      <alignment horizontal="right"/>
    </xf>
    <xf numFmtId="0" fontId="0" fillId="0" borderId="15" xfId="0" applyFill="true" applyBorder="true"/>
    <xf numFmtId="0" fontId="0" fillId="0" borderId="16" xfId="0" applyFill="true" applyBorder="true" applyAlignment="true">
      <alignment horizontal="center"/>
    </xf>
    <xf numFmtId="0" fontId="0" fillId="0" borderId="0" xfId="0" applyFill="true" applyBorder="true" applyAlignment="true">
      <alignment horizontal="right"/>
    </xf>
    <xf numFmtId="0" fontId="0" fillId="0" borderId="17" xfId="0" applyFont="true" applyBorder="true"/>
    <xf numFmtId="0" fontId="0" fillId="0" borderId="0" xfId="0" applyFill="true" applyBorder="true" applyAlignment="true">
      <alignment horizontal="center"/>
    </xf>
    <xf numFmtId="2" fontId="0" fillId="0" borderId="1" xfId="0" applyNumberFormat="true" applyFont="true" applyBorder="true" applyAlignment="true">
      <alignment horizontal="center"/>
    </xf>
    <xf numFmtId="2" fontId="0" fillId="0" borderId="18" xfId="0" applyNumberFormat="true" applyFill="true" applyBorder="true" applyAlignment="true">
      <alignment horizontal="center"/>
    </xf>
    <xf numFmtId="0" fontId="0" fillId="0" borderId="17" xfId="0" applyBorder="true"/>
    <xf numFmtId="2" fontId="0" fillId="0" borderId="19" xfId="0" applyNumberFormat="true" applyFont="true" applyBorder="true" applyAlignment="true">
      <alignment horizontal="center"/>
    </xf>
    <xf numFmtId="58" fontId="0" fillId="0" borderId="17" xfId="0" applyNumberFormat="true" applyFont="true" applyBorder="true" applyAlignment="true">
      <alignment horizontal="center"/>
    </xf>
  </cellXfs>
  <cellStyles count="49">
    <cellStyle name="Normal" xfId="0" builtinId="0"/>
    <cellStyle name="60% - Accent6" xfId="1" builtinId="52"/>
    <cellStyle name="40% - Accent6" xfId="2" builtinId="51"/>
    <cellStyle name="60% - Accent5" xfId="3" builtinId="48"/>
    <cellStyle name="Accent6" xfId="4" builtinId="49"/>
    <cellStyle name="40% - Accent5" xfId="5" builtinId="47"/>
    <cellStyle name="20% - Accent5" xfId="6" builtinId="46"/>
    <cellStyle name="60% - Accent4" xfId="7" builtinId="44"/>
    <cellStyle name="Accent5" xfId="8" builtinId="45"/>
    <cellStyle name="40% - Accent4" xfId="9" builtinId="43"/>
    <cellStyle name="Accent4" xfId="10" builtinId="41"/>
    <cellStyle name="Linked Cell" xfId="11" builtinId="24"/>
    <cellStyle name="40% - Accent3" xfId="12" builtinId="39"/>
    <cellStyle name="60% - Accent2" xfId="13" builtinId="36"/>
    <cellStyle name="Accent3" xfId="14" builtinId="37"/>
    <cellStyle name="40% - Accent2" xfId="15" builtinId="35"/>
    <cellStyle name="20% - Accent2" xfId="16" builtinId="34"/>
    <cellStyle name="Accent2" xfId="17" builtinId="33"/>
    <cellStyle name="40% - Accent1" xfId="18" builtinId="31"/>
    <cellStyle name="20% - Accent1" xfId="19" builtinId="30"/>
    <cellStyle name="Accent1" xfId="20" builtinId="29"/>
    <cellStyle name="Neutral" xfId="21" builtinId="28"/>
    <cellStyle name="60% - Accent1" xfId="22" builtinId="32"/>
    <cellStyle name="Bad" xfId="23" builtinId="27"/>
    <cellStyle name="20% - Accent4" xfId="24" builtinId="42"/>
    <cellStyle name="Total" xfId="25" builtinId="25"/>
    <cellStyle name="Output" xfId="26" builtinId="21"/>
    <cellStyle name="Currency" xfId="27" builtinId="4"/>
    <cellStyle name="20% - Accent3" xfId="28" builtinId="38"/>
    <cellStyle name="Note" xfId="29" builtinId="10"/>
    <cellStyle name="Input" xfId="30" builtinId="20"/>
    <cellStyle name="Heading 4" xfId="31" builtinId="19"/>
    <cellStyle name="Calculation" xfId="32" builtinId="22"/>
    <cellStyle name="Good" xfId="33" builtinId="26"/>
    <cellStyle name="Heading 3" xfId="34" builtinId="18"/>
    <cellStyle name="CExplanatory Text" xfId="35" builtinId="53"/>
    <cellStyle name="Heading 1" xfId="36" builtinId="16"/>
    <cellStyle name="Comma [0]" xfId="37" builtinId="6"/>
    <cellStyle name="20% - Accent6" xfId="38" builtinId="50"/>
    <cellStyle name="Title" xfId="39" builtinId="15"/>
    <cellStyle name="Currency [0]" xfId="40" builtinId="7"/>
    <cellStyle name="Warning Text" xfId="41" builtinId="11"/>
    <cellStyle name="Followed Hyperlink" xfId="42" builtinId="9"/>
    <cellStyle name="Heading 2" xfId="43" builtinId="17"/>
    <cellStyle name="Comma" xfId="44" builtinId="3"/>
    <cellStyle name="Check Cell" xfId="45" builtinId="23"/>
    <cellStyle name="60% - Accent3" xfId="46" builtinId="40"/>
    <cellStyle name="Percent" xfId="47" builtinId="5"/>
    <cellStyle name="Hyperlink" xfId="48" builtinId="8"/>
  </cellStyles>
  <dxfs count="3">
    <dxf>
      <fill>
        <patternFill patternType="solid">
          <bgColor rgb="FFF48F84"/>
        </patternFill>
      </fill>
    </dxf>
    <dxf>
      <fill>
        <patternFill patternType="solid">
          <fgColor theme="0"/>
          <bgColor theme="8" tint="0.599963377788629"/>
        </patternFill>
      </fill>
    </dxf>
    <dxf>
      <font>
        <b val="1"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9" Type="http://schemas.openxmlformats.org/officeDocument/2006/relationships/styles" Target="styles.xml"/><Relationship Id="rId98" Type="http://schemas.openxmlformats.org/officeDocument/2006/relationships/theme" Target="theme/theme1.xml"/><Relationship Id="rId97" Type="http://schemas.openxmlformats.org/officeDocument/2006/relationships/worksheet" Target="worksheets/sheet97.xml"/><Relationship Id="rId96" Type="http://schemas.openxmlformats.org/officeDocument/2006/relationships/worksheet" Target="worksheets/sheet96.xml"/><Relationship Id="rId95" Type="http://schemas.openxmlformats.org/officeDocument/2006/relationships/worksheet" Target="worksheets/sheet95.xml"/><Relationship Id="rId94" Type="http://schemas.openxmlformats.org/officeDocument/2006/relationships/worksheet" Target="worksheets/sheet94.xml"/><Relationship Id="rId93" Type="http://schemas.openxmlformats.org/officeDocument/2006/relationships/worksheet" Target="worksheets/sheet93.xml"/><Relationship Id="rId92" Type="http://schemas.openxmlformats.org/officeDocument/2006/relationships/worksheet" Target="worksheets/sheet92.xml"/><Relationship Id="rId91" Type="http://schemas.openxmlformats.org/officeDocument/2006/relationships/worksheet" Target="worksheets/sheet91.xml"/><Relationship Id="rId90" Type="http://schemas.openxmlformats.org/officeDocument/2006/relationships/worksheet" Target="worksheets/sheet90.xml"/><Relationship Id="rId9" Type="http://schemas.openxmlformats.org/officeDocument/2006/relationships/worksheet" Target="worksheets/sheet9.xml"/><Relationship Id="rId89" Type="http://schemas.openxmlformats.org/officeDocument/2006/relationships/worksheet" Target="worksheets/sheet89.xml"/><Relationship Id="rId88" Type="http://schemas.openxmlformats.org/officeDocument/2006/relationships/worksheet" Target="worksheets/sheet88.xml"/><Relationship Id="rId87" Type="http://schemas.openxmlformats.org/officeDocument/2006/relationships/worksheet" Target="worksheets/sheet87.xml"/><Relationship Id="rId86" Type="http://schemas.openxmlformats.org/officeDocument/2006/relationships/worksheet" Target="worksheets/sheet86.xml"/><Relationship Id="rId85" Type="http://schemas.openxmlformats.org/officeDocument/2006/relationships/worksheet" Target="worksheets/sheet85.xml"/><Relationship Id="rId84" Type="http://schemas.openxmlformats.org/officeDocument/2006/relationships/worksheet" Target="worksheets/sheet84.xml"/><Relationship Id="rId83" Type="http://schemas.openxmlformats.org/officeDocument/2006/relationships/worksheet" Target="worksheets/sheet83.xml"/><Relationship Id="rId82" Type="http://schemas.openxmlformats.org/officeDocument/2006/relationships/worksheet" Target="worksheets/sheet82.xml"/><Relationship Id="rId81" Type="http://schemas.openxmlformats.org/officeDocument/2006/relationships/worksheet" Target="worksheets/sheet81.xml"/><Relationship Id="rId80" Type="http://schemas.openxmlformats.org/officeDocument/2006/relationships/worksheet" Target="worksheets/sheet80.xml"/><Relationship Id="rId8" Type="http://schemas.openxmlformats.org/officeDocument/2006/relationships/worksheet" Target="worksheets/sheet8.xml"/><Relationship Id="rId79" Type="http://schemas.openxmlformats.org/officeDocument/2006/relationships/worksheet" Target="worksheets/sheet79.xml"/><Relationship Id="rId78" Type="http://schemas.openxmlformats.org/officeDocument/2006/relationships/worksheet" Target="worksheets/sheet78.xml"/><Relationship Id="rId77" Type="http://schemas.openxmlformats.org/officeDocument/2006/relationships/worksheet" Target="worksheets/sheet77.xml"/><Relationship Id="rId76" Type="http://schemas.openxmlformats.org/officeDocument/2006/relationships/worksheet" Target="worksheets/sheet76.xml"/><Relationship Id="rId75" Type="http://schemas.openxmlformats.org/officeDocument/2006/relationships/worksheet" Target="worksheets/sheet75.xml"/><Relationship Id="rId74" Type="http://schemas.openxmlformats.org/officeDocument/2006/relationships/worksheet" Target="worksheets/sheet74.xml"/><Relationship Id="rId73" Type="http://schemas.openxmlformats.org/officeDocument/2006/relationships/worksheet" Target="worksheets/sheet73.xml"/><Relationship Id="rId72" Type="http://schemas.openxmlformats.org/officeDocument/2006/relationships/worksheet" Target="worksheets/sheet72.xml"/><Relationship Id="rId71" Type="http://schemas.openxmlformats.org/officeDocument/2006/relationships/worksheet" Target="worksheets/sheet71.xml"/><Relationship Id="rId70" Type="http://schemas.openxmlformats.org/officeDocument/2006/relationships/worksheet" Target="worksheets/sheet70.xml"/><Relationship Id="rId7" Type="http://schemas.openxmlformats.org/officeDocument/2006/relationships/worksheet" Target="worksheets/sheet7.xml"/><Relationship Id="rId69" Type="http://schemas.openxmlformats.org/officeDocument/2006/relationships/worksheet" Target="worksheets/sheet69.xml"/><Relationship Id="rId68" Type="http://schemas.openxmlformats.org/officeDocument/2006/relationships/worksheet" Target="worksheets/sheet68.xml"/><Relationship Id="rId67" Type="http://schemas.openxmlformats.org/officeDocument/2006/relationships/worksheet" Target="worksheets/sheet67.xml"/><Relationship Id="rId66" Type="http://schemas.openxmlformats.org/officeDocument/2006/relationships/worksheet" Target="worksheets/sheet66.xml"/><Relationship Id="rId65" Type="http://schemas.openxmlformats.org/officeDocument/2006/relationships/worksheet" Target="worksheets/sheet65.xml"/><Relationship Id="rId64" Type="http://schemas.openxmlformats.org/officeDocument/2006/relationships/worksheet" Target="worksheets/sheet64.xml"/><Relationship Id="rId63" Type="http://schemas.openxmlformats.org/officeDocument/2006/relationships/worksheet" Target="worksheets/sheet63.xml"/><Relationship Id="rId62" Type="http://schemas.openxmlformats.org/officeDocument/2006/relationships/worksheet" Target="worksheets/sheet62.xml"/><Relationship Id="rId61" Type="http://schemas.openxmlformats.org/officeDocument/2006/relationships/worksheet" Target="worksheets/sheet61.xml"/><Relationship Id="rId60" Type="http://schemas.openxmlformats.org/officeDocument/2006/relationships/worksheet" Target="worksheets/sheet60.xml"/><Relationship Id="rId6" Type="http://schemas.openxmlformats.org/officeDocument/2006/relationships/worksheet" Target="worksheets/sheet6.xml"/><Relationship Id="rId59" Type="http://schemas.openxmlformats.org/officeDocument/2006/relationships/worksheet" Target="worksheets/sheet59.xml"/><Relationship Id="rId58" Type="http://schemas.openxmlformats.org/officeDocument/2006/relationships/worksheet" Target="worksheets/sheet58.xml"/><Relationship Id="rId57" Type="http://schemas.openxmlformats.org/officeDocument/2006/relationships/worksheet" Target="worksheets/sheet57.xml"/><Relationship Id="rId56" Type="http://schemas.openxmlformats.org/officeDocument/2006/relationships/worksheet" Target="worksheets/sheet56.xml"/><Relationship Id="rId55" Type="http://schemas.openxmlformats.org/officeDocument/2006/relationships/worksheet" Target="worksheets/sheet55.xml"/><Relationship Id="rId54" Type="http://schemas.openxmlformats.org/officeDocument/2006/relationships/worksheet" Target="worksheets/sheet54.xml"/><Relationship Id="rId53" Type="http://schemas.openxmlformats.org/officeDocument/2006/relationships/worksheet" Target="worksheets/sheet53.xml"/><Relationship Id="rId52" Type="http://schemas.openxmlformats.org/officeDocument/2006/relationships/worksheet" Target="worksheets/sheet52.xml"/><Relationship Id="rId51" Type="http://schemas.openxmlformats.org/officeDocument/2006/relationships/worksheet" Target="worksheets/sheet51.xml"/><Relationship Id="rId50" Type="http://schemas.openxmlformats.org/officeDocument/2006/relationships/worksheet" Target="worksheets/sheet50.xml"/><Relationship Id="rId5" Type="http://schemas.openxmlformats.org/officeDocument/2006/relationships/worksheet" Target="worksheets/sheet5.xml"/><Relationship Id="rId49" Type="http://schemas.openxmlformats.org/officeDocument/2006/relationships/worksheet" Target="worksheets/sheet49.xml"/><Relationship Id="rId48" Type="http://schemas.openxmlformats.org/officeDocument/2006/relationships/worksheet" Target="worksheets/sheet48.xml"/><Relationship Id="rId47" Type="http://schemas.openxmlformats.org/officeDocument/2006/relationships/worksheet" Target="worksheets/sheet47.xml"/><Relationship Id="rId46" Type="http://schemas.openxmlformats.org/officeDocument/2006/relationships/worksheet" Target="worksheets/sheet46.xml"/><Relationship Id="rId45" Type="http://schemas.openxmlformats.org/officeDocument/2006/relationships/worksheet" Target="worksheets/sheet45.xml"/><Relationship Id="rId44" Type="http://schemas.openxmlformats.org/officeDocument/2006/relationships/worksheet" Target="worksheets/sheet44.xml"/><Relationship Id="rId43" Type="http://schemas.openxmlformats.org/officeDocument/2006/relationships/worksheet" Target="worksheets/sheet43.xml"/><Relationship Id="rId42" Type="http://schemas.openxmlformats.org/officeDocument/2006/relationships/worksheet" Target="worksheets/sheet42.xml"/><Relationship Id="rId41" Type="http://schemas.openxmlformats.org/officeDocument/2006/relationships/worksheet" Target="worksheets/sheet41.xml"/><Relationship Id="rId40" Type="http://schemas.openxmlformats.org/officeDocument/2006/relationships/worksheet" Target="worksheets/sheet40.xml"/><Relationship Id="rId4" Type="http://schemas.openxmlformats.org/officeDocument/2006/relationships/worksheet" Target="worksheets/sheet4.xml"/><Relationship Id="rId39" Type="http://schemas.openxmlformats.org/officeDocument/2006/relationships/worksheet" Target="worksheets/sheet39.xml"/><Relationship Id="rId38" Type="http://schemas.openxmlformats.org/officeDocument/2006/relationships/worksheet" Target="worksheets/sheet38.xml"/><Relationship Id="rId37" Type="http://schemas.openxmlformats.org/officeDocument/2006/relationships/worksheet" Target="worksheets/sheet37.xml"/><Relationship Id="rId36" Type="http://schemas.openxmlformats.org/officeDocument/2006/relationships/worksheet" Target="worksheets/sheet36.xml"/><Relationship Id="rId35" Type="http://schemas.openxmlformats.org/officeDocument/2006/relationships/worksheet" Target="worksheets/sheet35.xml"/><Relationship Id="rId34" Type="http://schemas.openxmlformats.org/officeDocument/2006/relationships/worksheet" Target="worksheets/sheet34.xml"/><Relationship Id="rId33" Type="http://schemas.openxmlformats.org/officeDocument/2006/relationships/worksheet" Target="worksheets/sheet33.xml"/><Relationship Id="rId32" Type="http://schemas.openxmlformats.org/officeDocument/2006/relationships/worksheet" Target="worksheets/sheet32.xml"/><Relationship Id="rId31" Type="http://schemas.openxmlformats.org/officeDocument/2006/relationships/worksheet" Target="worksheets/sheet31.xml"/><Relationship Id="rId30" Type="http://schemas.openxmlformats.org/officeDocument/2006/relationships/worksheet" Target="worksheets/sheet30.xml"/><Relationship Id="rId3" Type="http://schemas.openxmlformats.org/officeDocument/2006/relationships/worksheet" Target="worksheets/sheet3.xml"/><Relationship Id="rId29" Type="http://schemas.openxmlformats.org/officeDocument/2006/relationships/worksheet" Target="worksheets/sheet29.xml"/><Relationship Id="rId28" Type="http://schemas.openxmlformats.org/officeDocument/2006/relationships/worksheet" Target="worksheets/sheet28.xml"/><Relationship Id="rId27" Type="http://schemas.openxmlformats.org/officeDocument/2006/relationships/worksheet" Target="worksheets/sheet27.xml"/><Relationship Id="rId26" Type="http://schemas.openxmlformats.org/officeDocument/2006/relationships/worksheet" Target="worksheets/sheet26.xml"/><Relationship Id="rId25" Type="http://schemas.openxmlformats.org/officeDocument/2006/relationships/worksheet" Target="worksheets/sheet25.xml"/><Relationship Id="rId24" Type="http://schemas.openxmlformats.org/officeDocument/2006/relationships/worksheet" Target="worksheets/sheet24.xml"/><Relationship Id="rId23" Type="http://schemas.openxmlformats.org/officeDocument/2006/relationships/worksheet" Target="worksheets/sheet23.xml"/><Relationship Id="rId22" Type="http://schemas.openxmlformats.org/officeDocument/2006/relationships/worksheet" Target="worksheets/sheet22.xml"/><Relationship Id="rId21" Type="http://schemas.openxmlformats.org/officeDocument/2006/relationships/worksheet" Target="worksheets/sheet21.xml"/><Relationship Id="rId20" Type="http://schemas.openxmlformats.org/officeDocument/2006/relationships/worksheet" Target="worksheets/sheet20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19.xml"/><Relationship Id="rId18" Type="http://schemas.openxmlformats.org/officeDocument/2006/relationships/worksheet" Target="worksheets/sheet18.xml"/><Relationship Id="rId17" Type="http://schemas.openxmlformats.org/officeDocument/2006/relationships/worksheet" Target="worksheets/sheet17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0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true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false"/>
        </a:gradFill>
        <a:gradFill rotWithShape="true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false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true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false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pageSetUpPr fitToPage="true"/>
  </sheetPr>
  <dimension ref="A1:O116"/>
  <sheetViews>
    <sheetView topLeftCell="A49" workbookViewId="0">
      <selection activeCell="B20" sqref="B20"/>
    </sheetView>
  </sheetViews>
  <sheetFormatPr defaultColWidth="9" defaultRowHeight="14.25"/>
  <cols>
    <col min="1" max="1" width="20.7083333333333" style="12" customWidth="true"/>
    <col min="2" max="2" width="10.7083333333333" style="13" customWidth="true"/>
    <col min="3" max="3" width="11.2833333333333" style="5" customWidth="true"/>
    <col min="4" max="4" width="11.7083333333333" style="14" customWidth="true"/>
    <col min="5" max="7" width="11.7083333333333" customWidth="true"/>
    <col min="8" max="8" width="11.7083333333333" style="14" customWidth="true"/>
    <col min="9" max="11" width="11.7083333333333" customWidth="true"/>
    <col min="12" max="12" width="17.1416666666667" style="15" customWidth="true"/>
    <col min="13" max="16384" width="9.14166666666667"/>
  </cols>
  <sheetData>
    <row r="1" ht="35.25" spans="1:1">
      <c r="A1" s="16" t="s">
        <v>0</v>
      </c>
    </row>
    <row r="3" s="11" customFormat="true" ht="18.75" spans="1:12">
      <c r="A3" s="17" t="s">
        <v>1</v>
      </c>
      <c r="B3" s="17" t="e">
        <f ca="1">_xlfn.SHEETS()-2</f>
        <v>#NAME?</v>
      </c>
      <c r="C3" s="18"/>
      <c r="L3" s="37"/>
    </row>
    <row r="4" ht="18.75" spans="2:11">
      <c r="B4" s="12"/>
      <c r="D4" s="19" t="s">
        <v>2</v>
      </c>
      <c r="E4" s="29"/>
      <c r="F4" s="19" t="s">
        <v>3</v>
      </c>
      <c r="G4" s="30"/>
      <c r="H4" s="31" t="s">
        <v>4</v>
      </c>
      <c r="I4" s="29"/>
      <c r="J4" s="19" t="s">
        <v>5</v>
      </c>
      <c r="K4" s="29"/>
    </row>
    <row r="5" ht="18.75" spans="1:15">
      <c r="A5" s="20" t="s">
        <v>6</v>
      </c>
      <c r="B5" s="20" t="s">
        <v>7</v>
      </c>
      <c r="C5" s="21" t="s">
        <v>8</v>
      </c>
      <c r="D5" s="20" t="s">
        <v>9</v>
      </c>
      <c r="E5" s="32" t="s">
        <v>10</v>
      </c>
      <c r="F5" s="20" t="s">
        <v>9</v>
      </c>
      <c r="G5" s="33" t="s">
        <v>10</v>
      </c>
      <c r="H5" s="34" t="s">
        <v>9</v>
      </c>
      <c r="I5" s="32" t="s">
        <v>10</v>
      </c>
      <c r="J5" s="20" t="s">
        <v>9</v>
      </c>
      <c r="K5" s="32" t="s">
        <v>10</v>
      </c>
      <c r="L5" s="38" t="s">
        <v>11</v>
      </c>
      <c r="N5" s="40"/>
      <c r="O5" s="40"/>
    </row>
    <row r="6" spans="1:12">
      <c r="A6" s="22" t="str">
        <f>INDEX(Sheetnames,ROW(A6)-4)</f>
        <v>Trode (1)</v>
      </c>
      <c r="B6" s="23">
        <f ca="1" t="shared" ref="B6:B18" si="0">LOOKUP(2,1/(INDIRECT("'"&amp;A6&amp;"'!C4"):INDIRECT("'"&amp;A6&amp;"'!C300")&lt;&gt;""),INDIRECT("'"&amp;A6&amp;"'!C4"):INDIRECT("'"&amp;A6&amp;"'!C300"))</f>
        <v>0.25</v>
      </c>
      <c r="C6" s="24">
        <f ca="1">B6/8</f>
        <v>0.03125</v>
      </c>
      <c r="D6" s="25">
        <f ca="1" t="shared" ref="D6:G69" si="1">H6-$C6</f>
        <v>27.3872911543441</v>
      </c>
      <c r="E6" s="35">
        <f ca="1" t="shared" si="1"/>
        <v>25.8872911543441</v>
      </c>
      <c r="F6" s="25" t="s">
        <v>12</v>
      </c>
      <c r="G6" s="25" t="s">
        <v>12</v>
      </c>
      <c r="H6" s="36">
        <v>27.4185411543441</v>
      </c>
      <c r="I6" s="35">
        <v>25.9185411543441</v>
      </c>
      <c r="J6" s="25" t="s">
        <v>12</v>
      </c>
      <c r="K6" s="35" t="s">
        <v>12</v>
      </c>
      <c r="L6" s="39">
        <f ca="1" t="shared" ref="L6:L69" si="2">LOOKUP(2,1/(INDIRECT("'"&amp;A6&amp;"'!A4"):INDIRECT("'"&amp;A6&amp;"'!A300")&lt;&gt;""),INDIRECT("'"&amp;A6&amp;"'!A4"):INDIRECT("'"&amp;A6&amp;"'!A300"))</f>
        <v>43520</v>
      </c>
    </row>
    <row r="7" spans="1:12">
      <c r="A7" s="26" t="str">
        <f t="shared" ref="A7:A71" si="3">INDEX(Sheetnames,ROW(A7)-4)</f>
        <v>Trode (2)</v>
      </c>
      <c r="B7" s="27">
        <f ca="1" t="shared" si="0"/>
        <v>0.25</v>
      </c>
      <c r="C7" s="28">
        <f ca="1" t="shared" ref="C7:C70" si="4">B7/8</f>
        <v>0.03125</v>
      </c>
      <c r="D7" s="25">
        <f ca="1" t="shared" si="1"/>
        <v>26.4930813119493</v>
      </c>
      <c r="E7" s="35">
        <f ca="1" t="shared" si="1"/>
        <v>24.9930813119493</v>
      </c>
      <c r="F7" s="25" t="s">
        <v>12</v>
      </c>
      <c r="G7" s="25" t="s">
        <v>12</v>
      </c>
      <c r="H7" s="36">
        <v>26.5243313119493</v>
      </c>
      <c r="I7" s="35">
        <v>25.0243313119493</v>
      </c>
      <c r="J7" s="25" t="s">
        <v>12</v>
      </c>
      <c r="K7" s="35" t="s">
        <v>12</v>
      </c>
      <c r="L7" s="39">
        <f ca="1" t="shared" si="2"/>
        <v>43572</v>
      </c>
    </row>
    <row r="8" spans="1:12">
      <c r="A8" s="26" t="str">
        <f t="shared" si="3"/>
        <v>Trode (3)</v>
      </c>
      <c r="B8" s="27">
        <f ca="1" t="shared" si="0"/>
        <v>0.25</v>
      </c>
      <c r="C8" s="28">
        <f ca="1" t="shared" si="4"/>
        <v>0.03125</v>
      </c>
      <c r="D8" s="25">
        <f ca="1" t="shared" si="1"/>
        <v>26.8799685054292</v>
      </c>
      <c r="E8" s="35">
        <f ca="1" t="shared" si="1"/>
        <v>25.3799685054292</v>
      </c>
      <c r="F8" s="25">
        <f ca="1">J8-$C8</f>
        <v>33.393954946794</v>
      </c>
      <c r="G8" s="25">
        <f ca="1">K8-$C8</f>
        <v>31.8939549467939</v>
      </c>
      <c r="H8" s="36">
        <v>26.9112185054292</v>
      </c>
      <c r="I8" s="35">
        <v>25.4112185054292</v>
      </c>
      <c r="J8" s="25">
        <v>33.425204946794</v>
      </c>
      <c r="K8" s="35">
        <v>31.9252049467939</v>
      </c>
      <c r="L8" s="39">
        <f ca="1" t="shared" si="2"/>
        <v>43572</v>
      </c>
    </row>
    <row r="9" spans="1:12">
      <c r="A9" s="26" t="str">
        <f t="shared" si="3"/>
        <v>Trode (4)</v>
      </c>
      <c r="B9" s="27">
        <f ca="1" t="shared" si="0"/>
        <v>0.25</v>
      </c>
      <c r="C9" s="28">
        <f ca="1" t="shared" si="4"/>
        <v>0.03125</v>
      </c>
      <c r="D9" s="25">
        <f ca="1" t="shared" si="1"/>
        <v>27.0498169486227</v>
      </c>
      <c r="E9" s="35">
        <f ca="1" t="shared" si="1"/>
        <v>25.5498169486227</v>
      </c>
      <c r="F9" s="25">
        <f ca="1">J9-$C9</f>
        <v>33.3014344476599</v>
      </c>
      <c r="G9" s="25">
        <f ca="1">K9-$C9</f>
        <v>31.8014344476599</v>
      </c>
      <c r="H9" s="36">
        <v>27.0810669486227</v>
      </c>
      <c r="I9" s="35">
        <v>25.5810669486227</v>
      </c>
      <c r="J9" s="25">
        <v>33.3326844476599</v>
      </c>
      <c r="K9" s="35">
        <v>31.8326844476599</v>
      </c>
      <c r="L9" s="39">
        <f ca="1" t="shared" si="2"/>
        <v>43572</v>
      </c>
    </row>
    <row r="10" spans="1:12">
      <c r="A10" s="26" t="str">
        <f t="shared" si="3"/>
        <v>Trode (5)</v>
      </c>
      <c r="B10" s="27">
        <f ca="1" t="shared" si="0"/>
        <v>0.25</v>
      </c>
      <c r="C10" s="28">
        <f ca="1" t="shared" si="4"/>
        <v>0.03125</v>
      </c>
      <c r="D10" s="25">
        <f ca="1" t="shared" si="1"/>
        <v>26.9578062187413</v>
      </c>
      <c r="E10" s="35">
        <f ca="1" t="shared" si="1"/>
        <v>25.4578062187413</v>
      </c>
      <c r="F10" s="25" t="s">
        <v>12</v>
      </c>
      <c r="G10" s="25" t="s">
        <v>12</v>
      </c>
      <c r="H10" s="36">
        <v>26.9890562187413</v>
      </c>
      <c r="I10" s="35">
        <v>25.4890562187413</v>
      </c>
      <c r="J10" s="25" t="s">
        <v>12</v>
      </c>
      <c r="K10" s="35" t="s">
        <v>12</v>
      </c>
      <c r="L10" s="39">
        <f ca="1" t="shared" si="2"/>
        <v>43572</v>
      </c>
    </row>
    <row r="11" spans="1:12">
      <c r="A11" s="26" t="str">
        <f t="shared" si="3"/>
        <v>Trode (6)</v>
      </c>
      <c r="B11" s="27">
        <f ca="1" t="shared" si="0"/>
        <v>0.25</v>
      </c>
      <c r="C11" s="28">
        <f ca="1" t="shared" si="4"/>
        <v>0.03125</v>
      </c>
      <c r="D11" s="25">
        <f ca="1" t="shared" si="1"/>
        <v>26.9714325349533</v>
      </c>
      <c r="E11" s="35">
        <f ca="1" t="shared" si="1"/>
        <v>25.4714325349533</v>
      </c>
      <c r="F11" s="25" t="s">
        <v>12</v>
      </c>
      <c r="G11" s="25" t="s">
        <v>12</v>
      </c>
      <c r="H11" s="36">
        <v>27.0026825349533</v>
      </c>
      <c r="I11" s="35">
        <v>25.5026825349533</v>
      </c>
      <c r="J11" s="25" t="s">
        <v>12</v>
      </c>
      <c r="K11" s="35" t="s">
        <v>12</v>
      </c>
      <c r="L11" s="39">
        <f ca="1" t="shared" si="2"/>
        <v>43572</v>
      </c>
    </row>
    <row r="12" spans="1:12">
      <c r="A12" s="26" t="str">
        <f t="shared" si="3"/>
        <v>Trode (7)</v>
      </c>
      <c r="B12" s="27">
        <f ca="1" t="shared" si="0"/>
        <v>0.25</v>
      </c>
      <c r="C12" s="28">
        <f ca="1" t="shared" si="4"/>
        <v>0.03125</v>
      </c>
      <c r="D12" s="25" t="s">
        <v>12</v>
      </c>
      <c r="E12" s="35" t="s">
        <v>12</v>
      </c>
      <c r="F12" s="25">
        <f ca="1" t="shared" ref="F12:G16" si="5">J12-$C12</f>
        <v>34.1140521264361</v>
      </c>
      <c r="G12" s="25">
        <f ca="1" t="shared" si="5"/>
        <v>32.6140521264361</v>
      </c>
      <c r="H12" s="36" t="s">
        <v>12</v>
      </c>
      <c r="I12" s="35" t="s">
        <v>12</v>
      </c>
      <c r="J12" s="25">
        <v>34.1453021264361</v>
      </c>
      <c r="K12" s="35">
        <v>32.6453021264361</v>
      </c>
      <c r="L12" s="39">
        <f ca="1" t="shared" si="2"/>
        <v>43570</v>
      </c>
    </row>
    <row r="13" spans="1:12">
      <c r="A13" s="26" t="str">
        <f t="shared" si="3"/>
        <v>Trode (8)</v>
      </c>
      <c r="B13" s="27">
        <f ca="1" t="shared" si="0"/>
        <v>0.5</v>
      </c>
      <c r="C13" s="28">
        <f ca="1" t="shared" si="4"/>
        <v>0.0625</v>
      </c>
      <c r="D13" s="25" t="s">
        <v>12</v>
      </c>
      <c r="E13" s="35" t="s">
        <v>12</v>
      </c>
      <c r="F13" s="25">
        <f ca="1" t="shared" si="5"/>
        <v>33.7103619714844</v>
      </c>
      <c r="G13" s="25">
        <f ca="1" t="shared" si="5"/>
        <v>32.2103619714844</v>
      </c>
      <c r="H13" s="36" t="s">
        <v>12</v>
      </c>
      <c r="I13" s="35" t="s">
        <v>12</v>
      </c>
      <c r="J13" s="25">
        <v>33.7728619714844</v>
      </c>
      <c r="K13" s="35">
        <v>32.2728619714844</v>
      </c>
      <c r="L13" s="39">
        <f ca="1" t="shared" si="2"/>
        <v>43570</v>
      </c>
    </row>
    <row r="14" spans="1:12">
      <c r="A14" s="26" t="str">
        <f t="shared" si="3"/>
        <v>Trode (9)</v>
      </c>
      <c r="B14" s="27">
        <f ca="1" t="shared" si="0"/>
        <v>0.5</v>
      </c>
      <c r="C14" s="28">
        <f ca="1" t="shared" si="4"/>
        <v>0.0625</v>
      </c>
      <c r="D14" s="25">
        <f ca="1" t="shared" si="1"/>
        <v>30.1297723652948</v>
      </c>
      <c r="E14" s="35">
        <f ca="1" t="shared" si="1"/>
        <v>28.6297723652948</v>
      </c>
      <c r="F14" s="25">
        <f ca="1" t="shared" si="5"/>
        <v>33.3877443921666</v>
      </c>
      <c r="G14" s="25">
        <f ca="1" t="shared" si="5"/>
        <v>31.8877443921666</v>
      </c>
      <c r="H14" s="36">
        <v>30.1922723652948</v>
      </c>
      <c r="I14" s="35">
        <v>28.6922723652948</v>
      </c>
      <c r="J14" s="25">
        <v>33.4502443921666</v>
      </c>
      <c r="K14" s="35">
        <v>31.9502443921666</v>
      </c>
      <c r="L14" s="39">
        <f ca="1" t="shared" si="2"/>
        <v>43572</v>
      </c>
    </row>
    <row r="15" spans="1:12">
      <c r="A15" s="26" t="str">
        <f t="shared" si="3"/>
        <v>Trode (10)</v>
      </c>
      <c r="B15" s="27">
        <f ca="1" t="shared" si="0"/>
        <v>0.25</v>
      </c>
      <c r="C15" s="28">
        <f ca="1" t="shared" si="4"/>
        <v>0.03125</v>
      </c>
      <c r="D15" s="25">
        <f ca="1" t="shared" si="1"/>
        <v>28.656064783805</v>
      </c>
      <c r="E15" s="35">
        <f ca="1" t="shared" si="1"/>
        <v>27.156064783805</v>
      </c>
      <c r="F15" s="25">
        <f ca="1" t="shared" si="5"/>
        <v>33.997813393516</v>
      </c>
      <c r="G15" s="25">
        <f ca="1" t="shared" si="5"/>
        <v>32.497813393516</v>
      </c>
      <c r="H15" s="36">
        <v>28.687314783805</v>
      </c>
      <c r="I15" s="35">
        <v>27.187314783805</v>
      </c>
      <c r="J15" s="25">
        <v>34.029063393516</v>
      </c>
      <c r="K15" s="35">
        <v>32.529063393516</v>
      </c>
      <c r="L15" s="39">
        <f ca="1" t="shared" si="2"/>
        <v>43572</v>
      </c>
    </row>
    <row r="16" spans="1:12">
      <c r="A16" s="26" t="str">
        <f t="shared" si="3"/>
        <v>Trode (11)</v>
      </c>
      <c r="B16" s="27">
        <f ca="1" t="shared" si="0"/>
        <v>0.25</v>
      </c>
      <c r="C16" s="28">
        <f ca="1" t="shared" si="4"/>
        <v>0.03125</v>
      </c>
      <c r="D16" s="25">
        <f ca="1" t="shared" si="1"/>
        <v>28.3913134970748</v>
      </c>
      <c r="E16" s="35">
        <f ca="1" t="shared" si="1"/>
        <v>26.8913134970748</v>
      </c>
      <c r="F16" s="25">
        <f ca="1" t="shared" si="5"/>
        <v>34.3420129483529</v>
      </c>
      <c r="G16" s="25">
        <f ca="1" t="shared" si="5"/>
        <v>32.8420129483529</v>
      </c>
      <c r="H16" s="36">
        <v>28.4225634970748</v>
      </c>
      <c r="I16" s="35">
        <v>26.9225634970748</v>
      </c>
      <c r="J16" s="25">
        <v>34.3732629483529</v>
      </c>
      <c r="K16" s="35">
        <v>32.8732629483529</v>
      </c>
      <c r="L16" s="39">
        <f ca="1" t="shared" si="2"/>
        <v>43572</v>
      </c>
    </row>
    <row r="17" spans="1:12">
      <c r="A17" s="26" t="str">
        <f t="shared" si="3"/>
        <v>Trode (12)</v>
      </c>
      <c r="B17" s="27">
        <f ca="1" t="shared" si="0"/>
        <v>0.25</v>
      </c>
      <c r="C17" s="28">
        <f ca="1" t="shared" si="4"/>
        <v>0.03125</v>
      </c>
      <c r="D17" s="25">
        <f ca="1" t="shared" si="1"/>
        <v>29.0830304503108</v>
      </c>
      <c r="E17" s="35">
        <f ca="1" t="shared" si="1"/>
        <v>27.5830304503108</v>
      </c>
      <c r="F17" s="25" t="s">
        <v>12</v>
      </c>
      <c r="G17" s="25" t="s">
        <v>12</v>
      </c>
      <c r="H17" s="36">
        <v>29.1142804503108</v>
      </c>
      <c r="I17" s="35">
        <v>27.6142804503108</v>
      </c>
      <c r="J17" s="25" t="s">
        <v>12</v>
      </c>
      <c r="K17" s="35" t="s">
        <v>12</v>
      </c>
      <c r="L17" s="39">
        <f ca="1" t="shared" si="2"/>
        <v>43572</v>
      </c>
    </row>
    <row r="18" spans="1:12">
      <c r="A18" s="26" t="str">
        <f t="shared" si="3"/>
        <v>Trode (13)</v>
      </c>
      <c r="B18" s="27">
        <f ca="1" t="shared" si="0"/>
        <v>0.25</v>
      </c>
      <c r="C18" s="28">
        <f ca="1" t="shared" si="4"/>
        <v>0.03125</v>
      </c>
      <c r="D18" s="25">
        <f ca="1" t="shared" si="1"/>
        <v>29.078357063842</v>
      </c>
      <c r="E18" s="35">
        <f ca="1" t="shared" si="1"/>
        <v>27.578357063842</v>
      </c>
      <c r="F18" s="25" t="s">
        <v>12</v>
      </c>
      <c r="G18" s="25" t="s">
        <v>12</v>
      </c>
      <c r="H18" s="36">
        <v>29.109607063842</v>
      </c>
      <c r="I18" s="35">
        <v>27.609607063842</v>
      </c>
      <c r="J18" s="25" t="s">
        <v>12</v>
      </c>
      <c r="K18" s="35" t="s">
        <v>12</v>
      </c>
      <c r="L18" s="39">
        <f ca="1" t="shared" si="2"/>
        <v>43566</v>
      </c>
    </row>
    <row r="19" spans="1:12">
      <c r="A19" s="26" t="str">
        <f t="shared" si="3"/>
        <v>Trode (14)</v>
      </c>
      <c r="B19" s="27">
        <v>-15.2</v>
      </c>
      <c r="C19" s="28">
        <f ca="1" t="shared" si="4"/>
        <v>-1.9</v>
      </c>
      <c r="D19" s="25" t="s">
        <v>12</v>
      </c>
      <c r="E19" s="35" t="s">
        <v>12</v>
      </c>
      <c r="F19" s="25" t="s">
        <v>12</v>
      </c>
      <c r="G19" s="25" t="s">
        <v>12</v>
      </c>
      <c r="H19" s="36" t="s">
        <v>12</v>
      </c>
      <c r="I19" s="35" t="s">
        <v>12</v>
      </c>
      <c r="J19" s="25" t="s">
        <v>12</v>
      </c>
      <c r="K19" s="35" t="s">
        <v>12</v>
      </c>
      <c r="L19" s="39">
        <f ca="1" t="shared" si="2"/>
        <v>43572</v>
      </c>
    </row>
    <row r="20" spans="1:12">
      <c r="A20" s="26" t="str">
        <f t="shared" si="3"/>
        <v>Trode (15)</v>
      </c>
      <c r="B20" s="27">
        <f ca="1" t="shared" ref="B20:B83" si="6">LOOKUP(2,1/(INDIRECT("'"&amp;A20&amp;"'!C4"):INDIRECT("'"&amp;A20&amp;"'!C300")&lt;&gt;""),INDIRECT("'"&amp;A20&amp;"'!C4"):INDIRECT("'"&amp;A20&amp;"'!C300"))</f>
        <v>0.5</v>
      </c>
      <c r="C20" s="28">
        <f ca="1" t="shared" si="4"/>
        <v>0.0625</v>
      </c>
      <c r="D20" s="25">
        <f ca="1" t="shared" si="1"/>
        <v>32.5482495524747</v>
      </c>
      <c r="E20" s="35">
        <f ca="1" t="shared" si="1"/>
        <v>31.0482495524747</v>
      </c>
      <c r="F20" s="25">
        <f ca="1" t="shared" si="1"/>
        <v>33.5571897635743</v>
      </c>
      <c r="G20" s="25">
        <f ca="1" t="shared" si="1"/>
        <v>32.0571897635743</v>
      </c>
      <c r="H20" s="36">
        <v>32.6107495524747</v>
      </c>
      <c r="I20" s="35">
        <v>31.1107495524747</v>
      </c>
      <c r="J20" s="25">
        <v>33.6196897635743</v>
      </c>
      <c r="K20" s="35">
        <v>32.1196897635743</v>
      </c>
      <c r="L20" s="39">
        <f ca="1" t="shared" si="2"/>
        <v>43566</v>
      </c>
    </row>
    <row r="21" spans="1:12">
      <c r="A21" s="26" t="str">
        <f t="shared" si="3"/>
        <v>Trode (16)</v>
      </c>
      <c r="B21" s="27">
        <f ca="1" t="shared" si="6"/>
        <v>0.25</v>
      </c>
      <c r="C21" s="28">
        <f ca="1" t="shared" si="4"/>
        <v>0.03125</v>
      </c>
      <c r="D21" s="25">
        <f ca="1" t="shared" si="1"/>
        <v>32.1915277157434</v>
      </c>
      <c r="E21" s="35">
        <f ca="1" t="shared" si="1"/>
        <v>30.6915277157434</v>
      </c>
      <c r="F21" s="25">
        <f ca="1" t="shared" si="1"/>
        <v>33.9403837241985</v>
      </c>
      <c r="G21" s="25">
        <f ca="1" t="shared" si="1"/>
        <v>32.4403837241985</v>
      </c>
      <c r="H21" s="36">
        <v>32.2227777157434</v>
      </c>
      <c r="I21" s="35">
        <v>30.7227777157434</v>
      </c>
      <c r="J21" s="25">
        <v>33.9716337241985</v>
      </c>
      <c r="K21" s="35">
        <v>32.4716337241985</v>
      </c>
      <c r="L21" s="39">
        <f ca="1" t="shared" si="2"/>
        <v>43572</v>
      </c>
    </row>
    <row r="22" spans="1:12">
      <c r="A22" s="26" t="str">
        <f t="shared" si="3"/>
        <v>Trode (17)</v>
      </c>
      <c r="B22" s="27">
        <f ca="1" t="shared" si="6"/>
        <v>0.5</v>
      </c>
      <c r="C22" s="28">
        <f ca="1" t="shared" si="4"/>
        <v>0.0625</v>
      </c>
      <c r="D22" s="25">
        <f ca="1" t="shared" si="1"/>
        <v>31.3035610793901</v>
      </c>
      <c r="E22" s="35">
        <f ca="1" t="shared" si="1"/>
        <v>29.8035610793901</v>
      </c>
      <c r="F22" s="25">
        <f ca="1" t="shared" si="1"/>
        <v>35.563203707686</v>
      </c>
      <c r="G22" s="25">
        <f ca="1" t="shared" si="1"/>
        <v>34.063203707686</v>
      </c>
      <c r="H22" s="36">
        <v>31.3660610793901</v>
      </c>
      <c r="I22" s="35">
        <v>29.8660610793901</v>
      </c>
      <c r="J22" s="25">
        <v>35.625703707686</v>
      </c>
      <c r="K22" s="35">
        <v>34.125703707686</v>
      </c>
      <c r="L22" s="39">
        <f ca="1" t="shared" si="2"/>
        <v>43390</v>
      </c>
    </row>
    <row r="23" spans="1:12">
      <c r="A23" s="26" t="str">
        <f t="shared" si="3"/>
        <v>Trode (18)</v>
      </c>
      <c r="B23" s="27">
        <f ca="1" t="shared" si="6"/>
        <v>0.25</v>
      </c>
      <c r="C23" s="28">
        <f ca="1" t="shared" si="4"/>
        <v>0.03125</v>
      </c>
      <c r="D23" s="25">
        <f ca="1" t="shared" si="1"/>
        <v>30.3489970230933</v>
      </c>
      <c r="E23" s="35">
        <f ca="1" t="shared" si="1"/>
        <v>28.8489970230933</v>
      </c>
      <c r="F23" s="25">
        <f ca="1" t="shared" si="1"/>
        <v>35.8604987159325</v>
      </c>
      <c r="G23" s="25">
        <f ca="1" t="shared" si="1"/>
        <v>34.3604987159325</v>
      </c>
      <c r="H23" s="36">
        <v>30.3802470230933</v>
      </c>
      <c r="I23" s="35">
        <v>28.8802470230933</v>
      </c>
      <c r="J23" s="25">
        <v>35.8917487159325</v>
      </c>
      <c r="K23" s="35">
        <v>34.3917487159325</v>
      </c>
      <c r="L23" s="39">
        <f ca="1" t="shared" si="2"/>
        <v>43572</v>
      </c>
    </row>
    <row r="24" spans="1:12">
      <c r="A24" s="26" t="str">
        <f t="shared" si="3"/>
        <v>Trode (19)</v>
      </c>
      <c r="B24" s="27">
        <f ca="1" t="shared" si="6"/>
        <v>0.25</v>
      </c>
      <c r="C24" s="28">
        <f ca="1" t="shared" si="4"/>
        <v>0.03125</v>
      </c>
      <c r="D24" s="25">
        <f ca="1" t="shared" si="1"/>
        <v>29.7629492873195</v>
      </c>
      <c r="E24" s="35">
        <f ca="1" t="shared" si="1"/>
        <v>28.2629492873195</v>
      </c>
      <c r="F24" s="25">
        <f ca="1" t="shared" si="1"/>
        <v>35.6630730777411</v>
      </c>
      <c r="G24" s="25">
        <f ca="1" t="shared" si="1"/>
        <v>34.1630730777411</v>
      </c>
      <c r="H24" s="36">
        <v>29.7941992873195</v>
      </c>
      <c r="I24" s="35">
        <v>28.2941992873195</v>
      </c>
      <c r="J24" s="25">
        <v>35.6943230777411</v>
      </c>
      <c r="K24" s="35">
        <v>34.1943230777411</v>
      </c>
      <c r="L24" s="39">
        <f ca="1" t="shared" si="2"/>
        <v>43572</v>
      </c>
    </row>
    <row r="25" spans="1:12">
      <c r="A25" s="26" t="str">
        <f t="shared" si="3"/>
        <v>Trode (20)</v>
      </c>
      <c r="B25" s="27">
        <f ca="1" t="shared" si="6"/>
        <v>0.25</v>
      </c>
      <c r="C25" s="28">
        <f ca="1" t="shared" si="4"/>
        <v>0.03125</v>
      </c>
      <c r="D25" s="25">
        <f ca="1" t="shared" si="1"/>
        <v>29.647909188909</v>
      </c>
      <c r="E25" s="35">
        <f ca="1" t="shared" si="1"/>
        <v>28.147909188909</v>
      </c>
      <c r="F25" s="25">
        <f ca="1">J25-$C25</f>
        <v>34.9711671591812</v>
      </c>
      <c r="G25" s="25">
        <f ca="1" t="shared" si="1"/>
        <v>33.4711671591812</v>
      </c>
      <c r="H25" s="36">
        <v>29.679159188909</v>
      </c>
      <c r="I25" s="35">
        <v>28.179159188909</v>
      </c>
      <c r="J25" s="25">
        <v>35.0024171591812</v>
      </c>
      <c r="K25" s="35">
        <v>33.5024171591812</v>
      </c>
      <c r="L25" s="39">
        <f ca="1" t="shared" si="2"/>
        <v>43566</v>
      </c>
    </row>
    <row r="26" spans="1:12">
      <c r="A26" s="26" t="str">
        <f t="shared" si="3"/>
        <v>Trode (21)</v>
      </c>
      <c r="B26" s="27">
        <f ca="1" t="shared" si="6"/>
        <v>0.25</v>
      </c>
      <c r="C26" s="28">
        <f ca="1" t="shared" si="4"/>
        <v>0.03125</v>
      </c>
      <c r="D26" s="25">
        <f ca="1" t="shared" si="1"/>
        <v>30.4693453115575</v>
      </c>
      <c r="E26" s="35">
        <f ca="1" t="shared" si="1"/>
        <v>28.9693453115575</v>
      </c>
      <c r="F26" s="25">
        <f ca="1" t="shared" si="1"/>
        <v>33.9257361184866</v>
      </c>
      <c r="G26" s="25">
        <f ca="1" t="shared" si="1"/>
        <v>32.4257361184866</v>
      </c>
      <c r="H26" s="36">
        <v>30.5005953115575</v>
      </c>
      <c r="I26" s="35">
        <v>29.0005953115575</v>
      </c>
      <c r="J26" s="25">
        <v>33.9569861184866</v>
      </c>
      <c r="K26" s="35">
        <v>32.4569861184866</v>
      </c>
      <c r="L26" s="39">
        <f ca="1" t="shared" si="2"/>
        <v>43572</v>
      </c>
    </row>
    <row r="27" spans="1:12">
      <c r="A27" s="26" t="str">
        <f t="shared" si="3"/>
        <v>Trode (22)</v>
      </c>
      <c r="B27" s="27">
        <f ca="1" t="shared" si="6"/>
        <v>0.25</v>
      </c>
      <c r="C27" s="28">
        <f ca="1" t="shared" si="4"/>
        <v>0.03125</v>
      </c>
      <c r="D27" s="25">
        <f ca="1" t="shared" si="1"/>
        <v>33.8298634067337</v>
      </c>
      <c r="E27" s="35">
        <f ca="1" t="shared" si="1"/>
        <v>32.3298634067337</v>
      </c>
      <c r="F27" s="25">
        <f ca="1" t="shared" si="1"/>
        <v>34.6814853046237</v>
      </c>
      <c r="G27" s="25">
        <f ca="1" t="shared" si="1"/>
        <v>33.1814853046237</v>
      </c>
      <c r="H27" s="36">
        <v>33.8611134067337</v>
      </c>
      <c r="I27" s="35">
        <v>32.3611134067337</v>
      </c>
      <c r="J27" s="25">
        <v>34.7127353046237</v>
      </c>
      <c r="K27" s="35">
        <v>33.2127353046237</v>
      </c>
      <c r="L27" s="39">
        <f ca="1" t="shared" si="2"/>
        <v>43572</v>
      </c>
    </row>
    <row r="28" spans="1:12">
      <c r="A28" s="26" t="str">
        <f t="shared" si="3"/>
        <v>Trode (23)</v>
      </c>
      <c r="B28" s="27">
        <f ca="1" t="shared" si="6"/>
        <v>0.25</v>
      </c>
      <c r="C28" s="28">
        <f ca="1" t="shared" si="4"/>
        <v>0.03125</v>
      </c>
      <c r="D28" s="25">
        <f ca="1" t="shared" si="1"/>
        <v>33.1035954400429</v>
      </c>
      <c r="E28" s="35">
        <f ca="1" t="shared" si="1"/>
        <v>31.6035954400429</v>
      </c>
      <c r="F28" s="25">
        <f ca="1" t="shared" si="1"/>
        <v>34.6014293906114</v>
      </c>
      <c r="G28" s="25">
        <f ca="1" t="shared" si="1"/>
        <v>33.1014293906114</v>
      </c>
      <c r="H28" s="36">
        <v>33.1348454400429</v>
      </c>
      <c r="I28" s="35">
        <v>31.6348454400429</v>
      </c>
      <c r="J28" s="25">
        <v>34.6326793906114</v>
      </c>
      <c r="K28" s="35">
        <v>33.1326793906114</v>
      </c>
      <c r="L28" s="39">
        <f ca="1" t="shared" si="2"/>
        <v>43572</v>
      </c>
    </row>
    <row r="29" spans="1:12">
      <c r="A29" s="26" t="str">
        <f t="shared" si="3"/>
        <v>Trode (24)</v>
      </c>
      <c r="B29" s="27">
        <f ca="1" t="shared" si="6"/>
        <v>0.25</v>
      </c>
      <c r="C29" s="28">
        <f ca="1" t="shared" si="4"/>
        <v>0.03125</v>
      </c>
      <c r="D29" s="25">
        <f ca="1" t="shared" si="1"/>
        <v>32.6551177497129</v>
      </c>
      <c r="E29" s="35">
        <f ca="1" t="shared" si="1"/>
        <v>31.1551177497129</v>
      </c>
      <c r="F29" s="25">
        <f ca="1" t="shared" si="1"/>
        <v>34.7088107974532</v>
      </c>
      <c r="G29" s="25">
        <f ca="1" t="shared" si="1"/>
        <v>33.2088107974532</v>
      </c>
      <c r="H29" s="36">
        <v>32.6863677497129</v>
      </c>
      <c r="I29" s="35">
        <v>31.1863677497129</v>
      </c>
      <c r="J29" s="25">
        <v>34.7400607974532</v>
      </c>
      <c r="K29" s="35">
        <v>33.2400607974532</v>
      </c>
      <c r="L29" s="39">
        <f ca="1" t="shared" si="2"/>
        <v>43493</v>
      </c>
    </row>
    <row r="30" spans="1:12">
      <c r="A30" s="26" t="str">
        <f t="shared" si="3"/>
        <v>Trode (25)</v>
      </c>
      <c r="B30" s="27">
        <f ca="1" t="shared" si="6"/>
        <v>0.5</v>
      </c>
      <c r="C30" s="28">
        <f ca="1" t="shared" si="4"/>
        <v>0.0625</v>
      </c>
      <c r="D30" s="25">
        <f ca="1" t="shared" si="1"/>
        <v>32.1603378118834</v>
      </c>
      <c r="E30" s="35">
        <f ca="1" t="shared" si="1"/>
        <v>30.6603378118834</v>
      </c>
      <c r="F30" s="25">
        <f ca="1" t="shared" si="1"/>
        <v>36.2775700547108</v>
      </c>
      <c r="G30" s="25">
        <f ca="1" t="shared" si="1"/>
        <v>34.7775700547108</v>
      </c>
      <c r="H30" s="36">
        <v>32.2228378118834</v>
      </c>
      <c r="I30" s="35">
        <v>30.7228378118834</v>
      </c>
      <c r="J30" s="25">
        <v>36.3400700547108</v>
      </c>
      <c r="K30" s="35">
        <v>34.8400700547108</v>
      </c>
      <c r="L30" s="39">
        <f ca="1" t="shared" si="2"/>
        <v>43564</v>
      </c>
    </row>
    <row r="31" spans="1:15">
      <c r="A31" s="26" t="str">
        <f t="shared" si="3"/>
        <v>Trode (26)</v>
      </c>
      <c r="B31" s="27">
        <f ca="1" t="shared" si="6"/>
        <v>0.25</v>
      </c>
      <c r="C31" s="28">
        <f ca="1" t="shared" si="4"/>
        <v>0.03125</v>
      </c>
      <c r="D31" s="25">
        <f ca="1" t="shared" si="1"/>
        <v>31.1956539974349</v>
      </c>
      <c r="E31" s="35">
        <f ca="1" t="shared" si="1"/>
        <v>29.6956539974349</v>
      </c>
      <c r="F31" s="25">
        <f ca="1" t="shared" si="1"/>
        <v>36.65234923418</v>
      </c>
      <c r="G31" s="25">
        <f ca="1" t="shared" si="1"/>
        <v>35.15234923418</v>
      </c>
      <c r="H31" s="36">
        <v>31.2269039974349</v>
      </c>
      <c r="I31" s="35">
        <v>29.7269039974349</v>
      </c>
      <c r="J31" s="25">
        <v>36.68359923418</v>
      </c>
      <c r="K31" s="35">
        <v>35.18359923418</v>
      </c>
      <c r="L31" s="39">
        <f ca="1" t="shared" si="2"/>
        <v>43566</v>
      </c>
      <c r="O31" s="41"/>
    </row>
    <row r="32" spans="1:15">
      <c r="A32" s="26" t="str">
        <f t="shared" si="3"/>
        <v>Trode (27)</v>
      </c>
      <c r="B32" s="27">
        <f ca="1" t="shared" si="6"/>
        <v>0.5</v>
      </c>
      <c r="C32" s="28">
        <f ca="1" t="shared" si="4"/>
        <v>0.0625</v>
      </c>
      <c r="D32" s="25">
        <f ca="1" t="shared" si="1"/>
        <v>30.684030903366</v>
      </c>
      <c r="E32" s="35">
        <f ca="1" t="shared" si="1"/>
        <v>29.184030903366</v>
      </c>
      <c r="F32" s="25">
        <f ca="1" t="shared" si="1"/>
        <v>36.8069079526359</v>
      </c>
      <c r="G32" s="25">
        <f ca="1" t="shared" si="1"/>
        <v>35.3069079526359</v>
      </c>
      <c r="H32" s="36">
        <v>30.746530903366</v>
      </c>
      <c r="I32" s="35">
        <v>29.246530903366</v>
      </c>
      <c r="J32" s="25">
        <v>36.8694079526359</v>
      </c>
      <c r="K32" s="35">
        <v>35.3694079526359</v>
      </c>
      <c r="L32" s="39">
        <f ca="1" t="shared" si="2"/>
        <v>43572</v>
      </c>
      <c r="O32" s="41"/>
    </row>
    <row r="33" spans="1:15">
      <c r="A33" s="26" t="str">
        <f t="shared" si="3"/>
        <v>Trode (28)</v>
      </c>
      <c r="B33" s="27">
        <f ca="1" t="shared" si="6"/>
        <v>0.5</v>
      </c>
      <c r="C33" s="28">
        <f ca="1" t="shared" si="4"/>
        <v>0.0625</v>
      </c>
      <c r="D33" s="25">
        <f ca="1" t="shared" si="1"/>
        <v>30.3851251389935</v>
      </c>
      <c r="E33" s="35">
        <f ca="1" t="shared" si="1"/>
        <v>28.8851251389935</v>
      </c>
      <c r="F33" s="25" t="s">
        <v>12</v>
      </c>
      <c r="G33" s="25" t="s">
        <v>12</v>
      </c>
      <c r="H33" s="36">
        <v>30.4476251389935</v>
      </c>
      <c r="I33" s="35">
        <v>28.9476251389935</v>
      </c>
      <c r="J33" s="25" t="s">
        <v>12</v>
      </c>
      <c r="K33" s="35" t="s">
        <v>12</v>
      </c>
      <c r="L33" s="39">
        <f ca="1" t="shared" si="2"/>
        <v>43513</v>
      </c>
      <c r="O33" s="41"/>
    </row>
    <row r="34" spans="1:12">
      <c r="A34" s="26" t="str">
        <f t="shared" si="3"/>
        <v>Trode (29)</v>
      </c>
      <c r="B34" s="27">
        <f ca="1" t="shared" si="6"/>
        <v>0.5</v>
      </c>
      <c r="C34" s="28">
        <f ca="1" t="shared" si="4"/>
        <v>0.0625</v>
      </c>
      <c r="D34" s="25">
        <f ca="1" t="shared" si="1"/>
        <v>30.3591191191614</v>
      </c>
      <c r="E34" s="35">
        <f ca="1" t="shared" si="1"/>
        <v>28.8591191191614</v>
      </c>
      <c r="F34" s="25" t="s">
        <v>12</v>
      </c>
      <c r="G34" s="25" t="s">
        <v>12</v>
      </c>
      <c r="H34" s="36">
        <v>30.4216191191614</v>
      </c>
      <c r="I34" s="35">
        <v>28.9216191191614</v>
      </c>
      <c r="J34" s="25" t="s">
        <v>12</v>
      </c>
      <c r="K34" s="35" t="s">
        <v>12</v>
      </c>
      <c r="L34" s="39">
        <f ca="1" t="shared" si="2"/>
        <v>43566</v>
      </c>
    </row>
    <row r="35" spans="1:12">
      <c r="A35" s="26" t="str">
        <f t="shared" si="3"/>
        <v>Trode (30)</v>
      </c>
      <c r="B35" s="27">
        <f ca="1" t="shared" si="6"/>
        <v>0.5</v>
      </c>
      <c r="C35" s="28">
        <f ca="1" t="shared" si="4"/>
        <v>0.0625</v>
      </c>
      <c r="D35" s="25" t="s">
        <v>12</v>
      </c>
      <c r="E35" s="35" t="s">
        <v>12</v>
      </c>
      <c r="F35" s="25">
        <f ca="1" t="shared" ref="F35:G40" si="7">J35-$C35</f>
        <v>36.7682127141779</v>
      </c>
      <c r="G35" s="25">
        <f ca="1" t="shared" si="7"/>
        <v>35.2682127141779</v>
      </c>
      <c r="H35" s="36" t="s">
        <v>12</v>
      </c>
      <c r="I35" s="35" t="s">
        <v>12</v>
      </c>
      <c r="J35" s="25">
        <v>36.8307127141779</v>
      </c>
      <c r="K35" s="35">
        <v>35.3307127141779</v>
      </c>
      <c r="L35" s="39">
        <f ca="1" t="shared" si="2"/>
        <v>43566</v>
      </c>
    </row>
    <row r="36" spans="1:12">
      <c r="A36" s="26" t="str">
        <f t="shared" si="3"/>
        <v>Trode (31)</v>
      </c>
      <c r="B36" s="27">
        <f ca="1" t="shared" si="6"/>
        <v>0.5</v>
      </c>
      <c r="C36" s="28">
        <f ca="1" t="shared" si="4"/>
        <v>0.0625</v>
      </c>
      <c r="D36" s="25">
        <f ca="1" t="shared" si="1"/>
        <v>35.0144705287905</v>
      </c>
      <c r="E36" s="35">
        <f ca="1" t="shared" si="1"/>
        <v>33.5144705287905</v>
      </c>
      <c r="F36" s="25">
        <f ca="1" t="shared" si="7"/>
        <v>35.6266806189378</v>
      </c>
      <c r="G36" s="25">
        <f ca="1" t="shared" si="7"/>
        <v>34.1266806189378</v>
      </c>
      <c r="H36" s="36">
        <v>35.0769705287905</v>
      </c>
      <c r="I36" s="35">
        <v>33.5769705287905</v>
      </c>
      <c r="J36" s="25">
        <v>35.6891806189378</v>
      </c>
      <c r="K36" s="35">
        <v>34.1891806189378</v>
      </c>
      <c r="L36" s="39">
        <f ca="1" t="shared" si="2"/>
        <v>43572</v>
      </c>
    </row>
    <row r="37" spans="1:12">
      <c r="A37" s="26" t="str">
        <f t="shared" si="3"/>
        <v>Trode (32)</v>
      </c>
      <c r="B37" s="27">
        <f ca="1" t="shared" si="6"/>
        <v>0.5</v>
      </c>
      <c r="C37" s="28">
        <f ca="1" t="shared" si="4"/>
        <v>0.0625</v>
      </c>
      <c r="D37" s="25">
        <f ca="1" t="shared" si="1"/>
        <v>34.0007841202154</v>
      </c>
      <c r="E37" s="35">
        <f ca="1" t="shared" si="1"/>
        <v>32.5007841202154</v>
      </c>
      <c r="F37" s="25">
        <f ca="1" t="shared" si="7"/>
        <v>35.3863014926143</v>
      </c>
      <c r="G37" s="25">
        <f ca="1" t="shared" si="7"/>
        <v>33.8863014926143</v>
      </c>
      <c r="H37" s="36">
        <v>34.0632841202154</v>
      </c>
      <c r="I37" s="35">
        <v>32.5632841202154</v>
      </c>
      <c r="J37" s="25">
        <v>35.4488014926143</v>
      </c>
      <c r="K37" s="35">
        <v>33.9488014926143</v>
      </c>
      <c r="L37" s="39">
        <f ca="1" t="shared" si="2"/>
        <v>43572</v>
      </c>
    </row>
    <row r="38" spans="1:15">
      <c r="A38" s="26" t="str">
        <f t="shared" si="3"/>
        <v>Trode (33)</v>
      </c>
      <c r="B38" s="27">
        <f ca="1" t="shared" si="6"/>
        <v>0.5</v>
      </c>
      <c r="C38" s="28">
        <f ca="1" t="shared" si="4"/>
        <v>0.0625</v>
      </c>
      <c r="D38" s="25">
        <f ca="1" t="shared" si="1"/>
        <v>33.0959074916616</v>
      </c>
      <c r="E38" s="35">
        <f ca="1" t="shared" si="1"/>
        <v>31.5959074916616</v>
      </c>
      <c r="F38" s="25">
        <f ca="1" t="shared" si="7"/>
        <v>37.0889125096213</v>
      </c>
      <c r="G38" s="25">
        <f ca="1" t="shared" si="7"/>
        <v>35.5889125096213</v>
      </c>
      <c r="H38" s="36">
        <v>33.1584074916616</v>
      </c>
      <c r="I38" s="35">
        <v>31.6584074916616</v>
      </c>
      <c r="J38" s="25">
        <v>37.1514125096213</v>
      </c>
      <c r="K38" s="35">
        <v>35.6514125096213</v>
      </c>
      <c r="L38" s="39">
        <f ca="1" t="shared" si="2"/>
        <v>43564</v>
      </c>
      <c r="O38" s="41"/>
    </row>
    <row r="39" spans="1:15">
      <c r="A39" s="26" t="str">
        <f t="shared" si="3"/>
        <v>Trode (34)</v>
      </c>
      <c r="B39" s="27">
        <f ca="1" t="shared" si="6"/>
        <v>0.5</v>
      </c>
      <c r="C39" s="28">
        <f ca="1" t="shared" si="4"/>
        <v>0.0625</v>
      </c>
      <c r="D39" s="25">
        <f ca="1" t="shared" si="1"/>
        <v>31.7156648191665</v>
      </c>
      <c r="E39" s="35">
        <f ca="1" t="shared" si="1"/>
        <v>30.2156648191665</v>
      </c>
      <c r="F39" s="25">
        <f ca="1" t="shared" si="7"/>
        <v>37.5537025611631</v>
      </c>
      <c r="G39" s="25">
        <f ca="1" t="shared" si="7"/>
        <v>36.0537025611631</v>
      </c>
      <c r="H39" s="36">
        <v>31.7781648191665</v>
      </c>
      <c r="I39" s="35">
        <v>30.2781648191665</v>
      </c>
      <c r="J39" s="25">
        <v>37.6162025611631</v>
      </c>
      <c r="K39" s="35">
        <v>36.1162025611631</v>
      </c>
      <c r="L39" s="39">
        <f ca="1" t="shared" si="2"/>
        <v>43572</v>
      </c>
      <c r="O39" s="41"/>
    </row>
    <row r="40" spans="1:12">
      <c r="A40" s="26" t="str">
        <f t="shared" si="3"/>
        <v>Trode (35)</v>
      </c>
      <c r="B40" s="27">
        <f ca="1" t="shared" si="6"/>
        <v>0.25</v>
      </c>
      <c r="C40" s="28">
        <f ca="1" t="shared" si="4"/>
        <v>0.03125</v>
      </c>
      <c r="D40" s="25">
        <f ca="1" t="shared" si="1"/>
        <v>31.022499350932</v>
      </c>
      <c r="E40" s="35">
        <f ca="1" t="shared" si="1"/>
        <v>29.522499350932</v>
      </c>
      <c r="F40" s="25">
        <f ca="1" t="shared" si="7"/>
        <v>37.7310818403845</v>
      </c>
      <c r="G40" s="25">
        <f ca="1" t="shared" si="7"/>
        <v>36.2310818403845</v>
      </c>
      <c r="H40" s="36">
        <v>31.053749350932</v>
      </c>
      <c r="I40" s="35">
        <v>29.553749350932</v>
      </c>
      <c r="J40" s="25">
        <v>37.7623318403845</v>
      </c>
      <c r="K40" s="35">
        <v>36.2623318403845</v>
      </c>
      <c r="L40" s="39">
        <f ca="1" t="shared" si="2"/>
        <v>43516</v>
      </c>
    </row>
    <row r="41" spans="1:12">
      <c r="A41" s="26" t="str">
        <f t="shared" si="3"/>
        <v>Trode (36)</v>
      </c>
      <c r="B41" s="27">
        <f ca="1" t="shared" si="6"/>
        <v>0.5</v>
      </c>
      <c r="C41" s="28">
        <f ca="1" t="shared" si="4"/>
        <v>0.0625</v>
      </c>
      <c r="D41" s="25">
        <f ca="1" t="shared" si="1"/>
        <v>30.7304742526953</v>
      </c>
      <c r="E41" s="35">
        <f ca="1" t="shared" si="1"/>
        <v>29.2304742526953</v>
      </c>
      <c r="F41" s="25" t="s">
        <v>12</v>
      </c>
      <c r="G41" s="25" t="s">
        <v>12</v>
      </c>
      <c r="H41" s="36">
        <v>30.7929742526953</v>
      </c>
      <c r="I41" s="35">
        <v>29.2929742526953</v>
      </c>
      <c r="J41" s="25" t="s">
        <v>12</v>
      </c>
      <c r="K41" s="35" t="s">
        <v>12</v>
      </c>
      <c r="L41" s="39">
        <f ca="1" t="shared" si="2"/>
        <v>43572</v>
      </c>
    </row>
    <row r="42" spans="1:12">
      <c r="A42" s="26" t="str">
        <f t="shared" si="3"/>
        <v>Trode (37)</v>
      </c>
      <c r="B42" s="27">
        <f ca="1" t="shared" si="6"/>
        <v>0.5</v>
      </c>
      <c r="C42" s="28">
        <f ca="1" t="shared" si="4"/>
        <v>0.0625</v>
      </c>
      <c r="D42" s="25">
        <f ca="1" t="shared" si="1"/>
        <v>30.6149894371801</v>
      </c>
      <c r="E42" s="35">
        <f ca="1" t="shared" si="1"/>
        <v>29.1149894371801</v>
      </c>
      <c r="F42" s="25" t="s">
        <v>12</v>
      </c>
      <c r="G42" s="25" t="s">
        <v>12</v>
      </c>
      <c r="H42" s="36">
        <v>30.6774894371801</v>
      </c>
      <c r="I42" s="35">
        <v>29.1774894371801</v>
      </c>
      <c r="J42" s="25" t="s">
        <v>12</v>
      </c>
      <c r="K42" s="35" t="s">
        <v>12</v>
      </c>
      <c r="L42" s="39">
        <f ca="1" t="shared" si="2"/>
        <v>43572</v>
      </c>
    </row>
    <row r="43" spans="1:12">
      <c r="A43" s="26" t="str">
        <f t="shared" si="3"/>
        <v>Trode (38)</v>
      </c>
      <c r="B43" s="27">
        <f ca="1" t="shared" si="6"/>
        <v>0.5</v>
      </c>
      <c r="C43" s="28">
        <f ca="1" t="shared" si="4"/>
        <v>0.0625</v>
      </c>
      <c r="D43" s="25" t="s">
        <v>12</v>
      </c>
      <c r="E43" s="35" t="s">
        <v>12</v>
      </c>
      <c r="F43" s="25">
        <f ca="1" t="shared" ref="F43:G48" si="8">J43-$C43</f>
        <v>37.9201764798019</v>
      </c>
      <c r="G43" s="25">
        <f ca="1" t="shared" si="8"/>
        <v>36.4201764798019</v>
      </c>
      <c r="H43" s="36" t="s">
        <v>12</v>
      </c>
      <c r="I43" s="35" t="s">
        <v>12</v>
      </c>
      <c r="J43" s="25">
        <v>37.9826764798019</v>
      </c>
      <c r="K43" s="35">
        <v>36.4826764798019</v>
      </c>
      <c r="L43" s="39">
        <f ca="1" t="shared" si="2"/>
        <v>43418</v>
      </c>
    </row>
    <row r="44" spans="1:12">
      <c r="A44" s="26" t="str">
        <f t="shared" si="3"/>
        <v>Trode (39)</v>
      </c>
      <c r="B44" s="27">
        <f ca="1" t="shared" si="6"/>
        <v>0.25</v>
      </c>
      <c r="C44" s="28">
        <f ca="1" t="shared" si="4"/>
        <v>0.03125</v>
      </c>
      <c r="D44" s="25" t="s">
        <v>12</v>
      </c>
      <c r="E44" s="35" t="s">
        <v>12</v>
      </c>
      <c r="F44" s="25">
        <f ca="1" t="shared" si="8"/>
        <v>36.7801556062493</v>
      </c>
      <c r="G44" s="25">
        <f ca="1" t="shared" si="8"/>
        <v>35.2801556062493</v>
      </c>
      <c r="H44" s="36" t="s">
        <v>12</v>
      </c>
      <c r="I44" s="35" t="s">
        <v>12</v>
      </c>
      <c r="J44" s="25">
        <v>36.8114056062493</v>
      </c>
      <c r="K44" s="35">
        <v>35.3114056062493</v>
      </c>
      <c r="L44" s="39">
        <f ca="1" t="shared" si="2"/>
        <v>43570</v>
      </c>
    </row>
    <row r="45" spans="1:15">
      <c r="A45" s="26" t="str">
        <f t="shared" si="3"/>
        <v>Trode (40)</v>
      </c>
      <c r="B45" s="27">
        <f ca="1" t="shared" si="6"/>
        <v>0.5</v>
      </c>
      <c r="C45" s="28">
        <f ca="1" t="shared" si="4"/>
        <v>0.0625</v>
      </c>
      <c r="D45" s="25" t="s">
        <v>12</v>
      </c>
      <c r="E45" s="35" t="s">
        <v>12</v>
      </c>
      <c r="F45" s="25">
        <f ca="1" t="shared" si="8"/>
        <v>36.260967679988</v>
      </c>
      <c r="G45" s="25">
        <f ca="1" t="shared" si="8"/>
        <v>34.760967679988</v>
      </c>
      <c r="H45" s="36" t="s">
        <v>12</v>
      </c>
      <c r="I45" s="35" t="s">
        <v>12</v>
      </c>
      <c r="J45" s="25">
        <v>36.323467679988</v>
      </c>
      <c r="K45" s="35">
        <v>34.823467679988</v>
      </c>
      <c r="L45" s="39">
        <f ca="1" t="shared" si="2"/>
        <v>43572</v>
      </c>
      <c r="O45" s="41"/>
    </row>
    <row r="46" spans="1:12">
      <c r="A46" s="26" t="str">
        <f t="shared" si="3"/>
        <v>Trode (41)</v>
      </c>
      <c r="B46" s="27">
        <f ca="1" t="shared" si="6"/>
        <v>0.5</v>
      </c>
      <c r="C46" s="28">
        <f ca="1" t="shared" si="4"/>
        <v>0.0625</v>
      </c>
      <c r="D46" s="25">
        <f ca="1" t="shared" si="1"/>
        <v>34.3962106064328</v>
      </c>
      <c r="E46" s="35">
        <f ca="1" t="shared" si="1"/>
        <v>32.8962106064328</v>
      </c>
      <c r="F46" s="25">
        <f ca="1" t="shared" si="8"/>
        <v>38.0198271504671</v>
      </c>
      <c r="G46" s="25">
        <f ca="1" t="shared" si="8"/>
        <v>36.5198271504671</v>
      </c>
      <c r="H46" s="36">
        <v>34.4587106064328</v>
      </c>
      <c r="I46" s="35">
        <v>32.9587106064328</v>
      </c>
      <c r="J46" s="25">
        <v>38.0823271504671</v>
      </c>
      <c r="K46" s="35">
        <v>36.5823271504671</v>
      </c>
      <c r="L46" s="39">
        <f ca="1" t="shared" si="2"/>
        <v>43572</v>
      </c>
    </row>
    <row r="47" spans="1:12">
      <c r="A47" s="26" t="str">
        <f t="shared" si="3"/>
        <v>Trode (42)</v>
      </c>
      <c r="B47" s="27">
        <f ca="1" t="shared" si="6"/>
        <v>0.5</v>
      </c>
      <c r="C47" s="28">
        <f ca="1" t="shared" si="4"/>
        <v>0.0625</v>
      </c>
      <c r="D47" s="25">
        <f ca="1" t="shared" si="1"/>
        <v>32.7896775117229</v>
      </c>
      <c r="E47" s="35">
        <f ca="1" t="shared" si="1"/>
        <v>31.2896775117229</v>
      </c>
      <c r="F47" s="25">
        <f ca="1" t="shared" si="8"/>
        <v>38.5482307227581</v>
      </c>
      <c r="G47" s="25">
        <f ca="1" t="shared" si="8"/>
        <v>37.0482307227581</v>
      </c>
      <c r="H47" s="36">
        <v>32.8521775117229</v>
      </c>
      <c r="I47" s="35">
        <v>31.3521775117229</v>
      </c>
      <c r="J47" s="25">
        <v>38.6107307227581</v>
      </c>
      <c r="K47" s="35">
        <v>37.1107307227581</v>
      </c>
      <c r="L47" s="39">
        <f ca="1" t="shared" si="2"/>
        <v>43572</v>
      </c>
    </row>
    <row r="48" spans="1:12">
      <c r="A48" s="26" t="str">
        <f t="shared" si="3"/>
        <v>Trode (43)</v>
      </c>
      <c r="B48" s="27">
        <f ca="1" t="shared" si="6"/>
        <v>0.5</v>
      </c>
      <c r="C48" s="28">
        <f ca="1" t="shared" si="4"/>
        <v>0.0625</v>
      </c>
      <c r="D48" s="25">
        <f ca="1" t="shared" si="1"/>
        <v>31.9205842447037</v>
      </c>
      <c r="E48" s="35">
        <f ca="1" t="shared" si="1"/>
        <v>30.4205842447037</v>
      </c>
      <c r="F48" s="25">
        <f ca="1" t="shared" si="8"/>
        <v>38.7508924917187</v>
      </c>
      <c r="G48" s="25">
        <f ca="1" t="shared" si="8"/>
        <v>37.2508924917187</v>
      </c>
      <c r="H48" s="36">
        <v>31.9830842447037</v>
      </c>
      <c r="I48" s="35">
        <v>30.4830842447037</v>
      </c>
      <c r="J48" s="25">
        <v>38.8133924917187</v>
      </c>
      <c r="K48" s="35">
        <v>37.3133924917187</v>
      </c>
      <c r="L48" s="39">
        <f ca="1" t="shared" si="2"/>
        <v>43418</v>
      </c>
    </row>
    <row r="49" spans="1:12">
      <c r="A49" s="26" t="str">
        <f t="shared" si="3"/>
        <v>Trode (44)</v>
      </c>
      <c r="B49" s="27">
        <f ca="1" t="shared" si="6"/>
        <v>0.5</v>
      </c>
      <c r="C49" s="28">
        <f ca="1" t="shared" si="4"/>
        <v>0.0625</v>
      </c>
      <c r="D49" s="25">
        <f ca="1" t="shared" si="1"/>
        <v>31.7112665998434</v>
      </c>
      <c r="E49" s="35">
        <f ca="1" t="shared" si="1"/>
        <v>30.2112665998434</v>
      </c>
      <c r="F49" s="25" t="s">
        <v>12</v>
      </c>
      <c r="G49" s="25" t="s">
        <v>12</v>
      </c>
      <c r="H49" s="36">
        <v>31.7737665998434</v>
      </c>
      <c r="I49" s="35">
        <v>30.2737665998434</v>
      </c>
      <c r="J49" s="25" t="s">
        <v>12</v>
      </c>
      <c r="K49" s="35" t="s">
        <v>12</v>
      </c>
      <c r="L49" s="39">
        <f ca="1" t="shared" si="2"/>
        <v>43572</v>
      </c>
    </row>
    <row r="50" spans="1:12">
      <c r="A50" s="26" t="str">
        <f t="shared" si="3"/>
        <v>Trode (45)</v>
      </c>
      <c r="B50" s="27">
        <f ca="1" t="shared" si="6"/>
        <v>0.5</v>
      </c>
      <c r="C50" s="28">
        <f ca="1" t="shared" si="4"/>
        <v>0.0625</v>
      </c>
      <c r="D50" s="25">
        <f ca="1" t="shared" si="1"/>
        <v>31.6542127395378</v>
      </c>
      <c r="E50" s="35">
        <f ca="1" t="shared" si="1"/>
        <v>30.1542127395378</v>
      </c>
      <c r="F50" s="25" t="s">
        <v>12</v>
      </c>
      <c r="G50" s="25" t="s">
        <v>12</v>
      </c>
      <c r="H50" s="36">
        <v>31.7167127395378</v>
      </c>
      <c r="I50" s="35">
        <v>30.2167127395378</v>
      </c>
      <c r="J50" s="25" t="s">
        <v>12</v>
      </c>
      <c r="K50" s="35" t="s">
        <v>12</v>
      </c>
      <c r="L50" s="39">
        <f ca="1" t="shared" si="2"/>
        <v>43572</v>
      </c>
    </row>
    <row r="51" spans="1:12">
      <c r="A51" s="26" t="str">
        <f t="shared" si="3"/>
        <v>Trode (46)</v>
      </c>
      <c r="B51" s="27">
        <f ca="1" t="shared" si="6"/>
        <v>0.5</v>
      </c>
      <c r="C51" s="28">
        <f ca="1" t="shared" si="4"/>
        <v>0.0625</v>
      </c>
      <c r="D51" s="25" t="s">
        <v>12</v>
      </c>
      <c r="E51" s="35" t="s">
        <v>12</v>
      </c>
      <c r="F51" s="25">
        <f ca="1" t="shared" ref="F51:G57" si="9">J51-$C51</f>
        <v>38.4038725789888</v>
      </c>
      <c r="G51" s="25">
        <f ca="1" t="shared" si="9"/>
        <v>36.9038725789888</v>
      </c>
      <c r="H51" s="36" t="s">
        <v>12</v>
      </c>
      <c r="I51" s="35" t="s">
        <v>12</v>
      </c>
      <c r="J51" s="25">
        <v>38.4663725789888</v>
      </c>
      <c r="K51" s="35">
        <v>36.9663725789888</v>
      </c>
      <c r="L51" s="39">
        <f ca="1" t="shared" si="2"/>
        <v>43572</v>
      </c>
    </row>
    <row r="52" spans="1:12">
      <c r="A52" s="26" t="str">
        <f t="shared" si="3"/>
        <v>Trode (47)</v>
      </c>
      <c r="B52" s="27">
        <f ca="1" t="shared" si="6"/>
        <v>0.25</v>
      </c>
      <c r="C52" s="28">
        <f ca="1" t="shared" si="4"/>
        <v>0.03125</v>
      </c>
      <c r="D52" s="25">
        <f ca="1" t="shared" si="1"/>
        <v>37.8011724826027</v>
      </c>
      <c r="E52" s="35">
        <f ca="1" t="shared" si="1"/>
        <v>36.3011724826027</v>
      </c>
      <c r="F52" s="25">
        <f ca="1" t="shared" si="9"/>
        <v>37.9292220801982</v>
      </c>
      <c r="G52" s="25">
        <f ca="1" t="shared" si="9"/>
        <v>36.4292220801982</v>
      </c>
      <c r="H52" s="36">
        <v>37.8324224826027</v>
      </c>
      <c r="I52" s="35">
        <v>36.3324224826027</v>
      </c>
      <c r="J52" s="25">
        <v>37.9604720801982</v>
      </c>
      <c r="K52" s="35">
        <v>36.4604720801982</v>
      </c>
      <c r="L52" s="39">
        <f ca="1" t="shared" si="2"/>
        <v>43572</v>
      </c>
    </row>
    <row r="53" spans="1:12">
      <c r="A53" s="26" t="str">
        <f t="shared" si="3"/>
        <v>Trode (48)</v>
      </c>
      <c r="B53" s="27">
        <f ca="1" t="shared" si="6"/>
        <v>0.25</v>
      </c>
      <c r="C53" s="28">
        <f ca="1" t="shared" si="4"/>
        <v>0.03125</v>
      </c>
      <c r="D53" s="25">
        <f ca="1" t="shared" si="1"/>
        <v>36.5934514336239</v>
      </c>
      <c r="E53" s="35">
        <f ca="1" t="shared" si="1"/>
        <v>35.0934514336239</v>
      </c>
      <c r="F53" s="25">
        <f ca="1" t="shared" si="9"/>
        <v>37.6262818280851</v>
      </c>
      <c r="G53" s="25">
        <f ca="1" t="shared" si="9"/>
        <v>36.1262818280851</v>
      </c>
      <c r="H53" s="36">
        <v>36.6247014336239</v>
      </c>
      <c r="I53" s="35">
        <v>35.1247014336239</v>
      </c>
      <c r="J53" s="25">
        <v>37.6575318280851</v>
      </c>
      <c r="K53" s="35">
        <v>36.1575318280851</v>
      </c>
      <c r="L53" s="39">
        <f ca="1" t="shared" si="2"/>
        <v>43572</v>
      </c>
    </row>
    <row r="54" spans="1:12">
      <c r="A54" s="26" t="str">
        <f t="shared" si="3"/>
        <v>Trode (49)</v>
      </c>
      <c r="B54" s="27">
        <f ca="1" t="shared" si="6"/>
        <v>0.25</v>
      </c>
      <c r="C54" s="28">
        <f ca="1" t="shared" si="4"/>
        <v>0.03125</v>
      </c>
      <c r="D54" s="25">
        <f ca="1" t="shared" si="1"/>
        <v>35.0589715679059</v>
      </c>
      <c r="E54" s="35">
        <f ca="1" t="shared" si="1"/>
        <v>33.5589715679059</v>
      </c>
      <c r="F54" s="25">
        <f ca="1" t="shared" si="9"/>
        <v>39.0971813579058</v>
      </c>
      <c r="G54" s="25">
        <f ca="1" t="shared" si="9"/>
        <v>37.5971813579058</v>
      </c>
      <c r="H54" s="36">
        <v>35.0902215679059</v>
      </c>
      <c r="I54" s="35">
        <v>33.5902215679059</v>
      </c>
      <c r="J54" s="25">
        <v>39.1284313579058</v>
      </c>
      <c r="K54" s="35">
        <v>37.6284313579058</v>
      </c>
      <c r="L54" s="39">
        <f ca="1" t="shared" si="2"/>
        <v>43513</v>
      </c>
    </row>
    <row r="55" spans="1:12">
      <c r="A55" s="26" t="str">
        <f t="shared" si="3"/>
        <v>Trode (50)</v>
      </c>
      <c r="B55" s="27">
        <f ca="1" t="shared" si="6"/>
        <v>0.25</v>
      </c>
      <c r="C55" s="28">
        <f ca="1" t="shared" si="4"/>
        <v>0.03125</v>
      </c>
      <c r="D55" s="25">
        <f ca="1" t="shared" si="1"/>
        <v>33.3785661273904</v>
      </c>
      <c r="E55" s="35">
        <f ca="1" t="shared" si="1"/>
        <v>31.8785661273904</v>
      </c>
      <c r="F55" s="25">
        <f ca="1" t="shared" si="9"/>
        <v>39.447820869255</v>
      </c>
      <c r="G55" s="25">
        <f ca="1" t="shared" si="9"/>
        <v>37.947820869255</v>
      </c>
      <c r="H55" s="36">
        <v>33.4098161273904</v>
      </c>
      <c r="I55" s="35">
        <v>31.9098161273904</v>
      </c>
      <c r="J55" s="25">
        <v>39.479070869255</v>
      </c>
      <c r="K55" s="35">
        <v>37.979070869255</v>
      </c>
      <c r="L55" s="39">
        <f ca="1" t="shared" si="2"/>
        <v>43572</v>
      </c>
    </row>
    <row r="56" spans="1:12">
      <c r="A56" s="26" t="str">
        <f t="shared" si="3"/>
        <v>Trode (51)</v>
      </c>
      <c r="B56" s="27">
        <f ca="1" t="shared" si="6"/>
        <v>0.25</v>
      </c>
      <c r="C56" s="28">
        <f ca="1" t="shared" si="4"/>
        <v>0.03125</v>
      </c>
      <c r="D56" s="25">
        <f ca="1" t="shared" si="1"/>
        <v>32.5877068188971</v>
      </c>
      <c r="E56" s="35">
        <f ca="1" t="shared" si="1"/>
        <v>31.0877068188971</v>
      </c>
      <c r="F56" s="25">
        <f ca="1" t="shared" si="9"/>
        <v>39.437057201579</v>
      </c>
      <c r="G56" s="25">
        <f ca="1" t="shared" si="9"/>
        <v>37.937057201579</v>
      </c>
      <c r="H56" s="36">
        <v>32.6189568188971</v>
      </c>
      <c r="I56" s="35">
        <v>31.1189568188971</v>
      </c>
      <c r="J56" s="25">
        <v>39.468307201579</v>
      </c>
      <c r="K56" s="35">
        <v>37.968307201579</v>
      </c>
      <c r="L56" s="39">
        <f ca="1" t="shared" si="2"/>
        <v>43572</v>
      </c>
    </row>
    <row r="57" spans="1:12">
      <c r="A57" s="26" t="str">
        <f t="shared" si="3"/>
        <v>Trode (52)</v>
      </c>
      <c r="B57" s="27">
        <f ca="1" t="shared" si="6"/>
        <v>0.25</v>
      </c>
      <c r="C57" s="28">
        <f ca="1" t="shared" si="4"/>
        <v>0.03125</v>
      </c>
      <c r="D57" s="25">
        <f ca="1" t="shared" si="1"/>
        <v>32.1255076577937</v>
      </c>
      <c r="E57" s="35">
        <f ca="1" t="shared" si="1"/>
        <v>30.6255076577937</v>
      </c>
      <c r="F57" s="25">
        <f ca="1" t="shared" si="9"/>
        <v>39.922730534195</v>
      </c>
      <c r="G57" s="25">
        <f ca="1" t="shared" si="9"/>
        <v>38.422730534195</v>
      </c>
      <c r="H57" s="36">
        <v>32.1567576577937</v>
      </c>
      <c r="I57" s="35">
        <v>30.6567576577937</v>
      </c>
      <c r="J57" s="25">
        <v>39.953980534195</v>
      </c>
      <c r="K57" s="35">
        <v>38.453980534195</v>
      </c>
      <c r="L57" s="39">
        <f ca="1" t="shared" si="2"/>
        <v>43572</v>
      </c>
    </row>
    <row r="58" spans="1:12">
      <c r="A58" s="26" t="str">
        <f t="shared" si="3"/>
        <v>Trode (53)</v>
      </c>
      <c r="B58" s="27">
        <f ca="1" t="shared" si="6"/>
        <v>0.25</v>
      </c>
      <c r="C58" s="28">
        <f ca="1" t="shared" si="4"/>
        <v>0.03125</v>
      </c>
      <c r="D58" s="25">
        <f ca="1" t="shared" si="1"/>
        <v>31.8700100561574</v>
      </c>
      <c r="E58" s="35">
        <f ca="1" t="shared" si="1"/>
        <v>30.3700100561574</v>
      </c>
      <c r="F58" s="25" t="s">
        <v>12</v>
      </c>
      <c r="G58" s="25" t="s">
        <v>12</v>
      </c>
      <c r="H58" s="36">
        <v>31.9012600561574</v>
      </c>
      <c r="I58" s="35">
        <v>30.4012600561574</v>
      </c>
      <c r="J58" s="25" t="s">
        <v>12</v>
      </c>
      <c r="K58" s="35" t="s">
        <v>12</v>
      </c>
      <c r="L58" s="39">
        <f ca="1" t="shared" si="2"/>
        <v>43572</v>
      </c>
    </row>
    <row r="59" spans="1:12">
      <c r="A59" s="26" t="str">
        <f t="shared" si="3"/>
        <v>Trode (54)</v>
      </c>
      <c r="B59" s="27">
        <f ca="1" t="shared" si="6"/>
        <v>0.25</v>
      </c>
      <c r="C59" s="28">
        <f ca="1" t="shared" si="4"/>
        <v>0.03125</v>
      </c>
      <c r="D59" s="25">
        <f ca="1" t="shared" si="1"/>
        <v>36.9767542032326</v>
      </c>
      <c r="E59" s="35">
        <f ca="1" t="shared" si="1"/>
        <v>35.4767542032326</v>
      </c>
      <c r="F59" s="25">
        <f ca="1" t="shared" si="1"/>
        <v>39.6330356887486</v>
      </c>
      <c r="G59" s="25">
        <f ca="1" t="shared" si="1"/>
        <v>38.1330356887486</v>
      </c>
      <c r="H59" s="36">
        <v>37.0080042032326</v>
      </c>
      <c r="I59" s="35">
        <v>35.5080042032326</v>
      </c>
      <c r="J59" s="25">
        <v>39.6642856887486</v>
      </c>
      <c r="K59" s="35">
        <v>38.1642856887486</v>
      </c>
      <c r="L59" s="39">
        <f ca="1" t="shared" si="2"/>
        <v>43536</v>
      </c>
    </row>
    <row r="60" spans="1:12">
      <c r="A60" s="26" t="str">
        <f t="shared" si="3"/>
        <v>Trode (55)</v>
      </c>
      <c r="B60" s="27">
        <f ca="1" t="shared" si="6"/>
        <v>0.5</v>
      </c>
      <c r="C60" s="28">
        <f ca="1" t="shared" si="4"/>
        <v>0.0625</v>
      </c>
      <c r="D60" s="25">
        <f ca="1" t="shared" si="1"/>
        <v>36.1644311052535</v>
      </c>
      <c r="E60" s="35">
        <f ca="1" t="shared" si="1"/>
        <v>34.6644311052535</v>
      </c>
      <c r="F60" s="25">
        <f ca="1" t="shared" si="1"/>
        <v>39.6986433161562</v>
      </c>
      <c r="G60" s="25">
        <f ca="1" t="shared" si="1"/>
        <v>38.1986433161562</v>
      </c>
      <c r="H60" s="36">
        <v>36.2269311052535</v>
      </c>
      <c r="I60" s="35">
        <v>34.7269311052535</v>
      </c>
      <c r="J60" s="25">
        <v>39.7611433161562</v>
      </c>
      <c r="K60" s="35">
        <v>38.2611433161562</v>
      </c>
      <c r="L60" s="39">
        <f ca="1" t="shared" si="2"/>
        <v>43572</v>
      </c>
    </row>
    <row r="61" spans="1:12">
      <c r="A61" s="26" t="str">
        <f t="shared" si="3"/>
        <v>Trode (56)</v>
      </c>
      <c r="B61" s="27">
        <f ca="1" t="shared" si="6"/>
        <v>0.5</v>
      </c>
      <c r="C61" s="28">
        <f ca="1" t="shared" si="4"/>
        <v>0.0625</v>
      </c>
      <c r="D61" s="25">
        <f ca="1" t="shared" si="1"/>
        <v>35.6066859205367</v>
      </c>
      <c r="E61" s="35">
        <f ca="1" t="shared" si="1"/>
        <v>34.1066859205367</v>
      </c>
      <c r="F61" s="25">
        <f ca="1" t="shared" si="1"/>
        <v>39.4513792087709</v>
      </c>
      <c r="G61" s="25">
        <f ca="1" t="shared" si="1"/>
        <v>37.9513792087709</v>
      </c>
      <c r="H61" s="36">
        <v>35.6691859205367</v>
      </c>
      <c r="I61" s="35">
        <v>34.1691859205367</v>
      </c>
      <c r="J61" s="25">
        <v>39.5138792087709</v>
      </c>
      <c r="K61" s="35">
        <v>38.0138792087709</v>
      </c>
      <c r="L61" s="39">
        <f ca="1" t="shared" si="2"/>
        <v>43370</v>
      </c>
    </row>
    <row r="62" spans="1:12">
      <c r="A62" s="26" t="str">
        <f t="shared" si="3"/>
        <v>Trode (57)</v>
      </c>
      <c r="B62" s="27">
        <f ca="1" t="shared" si="6"/>
        <v>0.5</v>
      </c>
      <c r="C62" s="28">
        <f ca="1" t="shared" si="4"/>
        <v>0.0625</v>
      </c>
      <c r="D62" s="25">
        <f ca="1" t="shared" si="1"/>
        <v>34.7378396564004</v>
      </c>
      <c r="E62" s="35">
        <f ca="1" t="shared" si="1"/>
        <v>33.2378396564004</v>
      </c>
      <c r="F62" s="25">
        <f ca="1" t="shared" si="1"/>
        <v>40.118825719625</v>
      </c>
      <c r="G62" s="25">
        <f ca="1" t="shared" si="1"/>
        <v>38.618825719625</v>
      </c>
      <c r="H62" s="36">
        <v>34.8003396564004</v>
      </c>
      <c r="I62" s="35">
        <v>33.3003396564004</v>
      </c>
      <c r="J62" s="25">
        <v>40.181325719625</v>
      </c>
      <c r="K62" s="35">
        <v>38.681325719625</v>
      </c>
      <c r="L62" s="39">
        <f ca="1" t="shared" si="2"/>
        <v>43572</v>
      </c>
    </row>
    <row r="63" spans="1:12">
      <c r="A63" s="26" t="str">
        <f t="shared" si="3"/>
        <v>Trode (58)</v>
      </c>
      <c r="B63" s="27">
        <f ca="1" t="shared" si="6"/>
        <v>0.25</v>
      </c>
      <c r="C63" s="28">
        <f ca="1" t="shared" si="4"/>
        <v>0.03125</v>
      </c>
      <c r="D63" s="25">
        <f ca="1" t="shared" si="1"/>
        <v>33.8363989441619</v>
      </c>
      <c r="E63" s="35">
        <f ca="1" t="shared" si="1"/>
        <v>32.3363989441619</v>
      </c>
      <c r="F63" s="25">
        <f ca="1" t="shared" si="1"/>
        <v>40.1142569440238</v>
      </c>
      <c r="G63" s="25">
        <f ca="1" t="shared" si="1"/>
        <v>38.6142569440238</v>
      </c>
      <c r="H63" s="36">
        <v>33.8676489441619</v>
      </c>
      <c r="I63" s="35">
        <v>32.3676489441619</v>
      </c>
      <c r="J63" s="25">
        <v>40.1455069440238</v>
      </c>
      <c r="K63" s="35">
        <v>38.6455069440238</v>
      </c>
      <c r="L63" s="39">
        <f ca="1" t="shared" si="2"/>
        <v>43572</v>
      </c>
    </row>
    <row r="64" spans="1:12">
      <c r="A64" s="26" t="str">
        <f t="shared" si="3"/>
        <v>Trode (59)</v>
      </c>
      <c r="B64" s="27">
        <f ca="1" t="shared" si="6"/>
        <v>0.25</v>
      </c>
      <c r="C64" s="28">
        <f ca="1" t="shared" si="4"/>
        <v>0.03125</v>
      </c>
      <c r="D64" s="25">
        <f ca="1" t="shared" si="1"/>
        <v>33.0254467559411</v>
      </c>
      <c r="E64" s="35">
        <f ca="1" t="shared" si="1"/>
        <v>31.5254467559411</v>
      </c>
      <c r="F64" s="25">
        <f ca="1" t="shared" si="1"/>
        <v>39.7515887052881</v>
      </c>
      <c r="G64" s="25">
        <f ca="1" t="shared" si="1"/>
        <v>38.2515887052881</v>
      </c>
      <c r="H64" s="36">
        <v>33.0566967559411</v>
      </c>
      <c r="I64" s="35">
        <v>31.5566967559411</v>
      </c>
      <c r="J64" s="25">
        <v>39.7828387052881</v>
      </c>
      <c r="K64" s="35">
        <v>38.2828387052881</v>
      </c>
      <c r="L64" s="39">
        <f ca="1" t="shared" si="2"/>
        <v>43572</v>
      </c>
    </row>
    <row r="65" spans="1:12">
      <c r="A65" s="26" t="str">
        <f t="shared" si="3"/>
        <v>Trode (60)</v>
      </c>
      <c r="B65" s="27">
        <f ca="1" t="shared" si="6"/>
        <v>0.25</v>
      </c>
      <c r="C65" s="28">
        <f ca="1" t="shared" si="4"/>
        <v>0.03125</v>
      </c>
      <c r="D65" s="25">
        <f ca="1" t="shared" si="1"/>
        <v>33.189417860196</v>
      </c>
      <c r="E65" s="35">
        <f ca="1" t="shared" si="1"/>
        <v>31.689417860196</v>
      </c>
      <c r="F65" s="25" t="s">
        <v>12</v>
      </c>
      <c r="G65" s="25" t="s">
        <v>12</v>
      </c>
      <c r="H65" s="36">
        <v>33.220667860196</v>
      </c>
      <c r="I65" s="35">
        <v>31.720667860196</v>
      </c>
      <c r="J65" s="25" t="s">
        <v>12</v>
      </c>
      <c r="K65" s="35" t="s">
        <v>12</v>
      </c>
      <c r="L65" s="39">
        <f ca="1" t="shared" si="2"/>
        <v>43572</v>
      </c>
    </row>
    <row r="66" spans="1:12">
      <c r="A66" s="26" t="str">
        <f t="shared" si="3"/>
        <v>Trode (61)</v>
      </c>
      <c r="B66" s="27">
        <f ca="1" t="shared" si="6"/>
        <v>0.25</v>
      </c>
      <c r="C66" s="28">
        <f ca="1" t="shared" si="4"/>
        <v>0.03125</v>
      </c>
      <c r="D66" s="25" t="s">
        <v>12</v>
      </c>
      <c r="E66" s="35" t="s">
        <v>12</v>
      </c>
      <c r="F66" s="25" t="s">
        <v>12</v>
      </c>
      <c r="G66" s="25" t="s">
        <v>12</v>
      </c>
      <c r="H66" s="36" t="s">
        <v>12</v>
      </c>
      <c r="I66" s="35" t="s">
        <v>12</v>
      </c>
      <c r="J66" s="25" t="s">
        <v>12</v>
      </c>
      <c r="K66" s="35" t="s">
        <v>12</v>
      </c>
      <c r="L66" s="39">
        <f ca="1" t="shared" si="2"/>
        <v>43513</v>
      </c>
    </row>
    <row r="67" spans="1:12">
      <c r="A67" s="26" t="str">
        <f t="shared" si="3"/>
        <v>Trode (62)</v>
      </c>
      <c r="B67" s="27">
        <f ca="1" t="shared" si="6"/>
        <v>0.5</v>
      </c>
      <c r="C67" s="28">
        <f ca="1" t="shared" si="4"/>
        <v>0.0625</v>
      </c>
      <c r="D67" s="25">
        <f ca="1" t="shared" si="1"/>
        <v>36.351081472504</v>
      </c>
      <c r="E67" s="35">
        <f ca="1" t="shared" si="1"/>
        <v>34.851081472504</v>
      </c>
      <c r="F67" s="25">
        <f ca="1" t="shared" si="1"/>
        <v>40.2849471849315</v>
      </c>
      <c r="G67" s="25">
        <f ca="1" t="shared" si="1"/>
        <v>38.7849471849315</v>
      </c>
      <c r="H67" s="36">
        <v>36.413581472504</v>
      </c>
      <c r="I67" s="35">
        <v>34.913581472504</v>
      </c>
      <c r="J67" s="25">
        <v>40.3474471849315</v>
      </c>
      <c r="K67" s="35">
        <v>38.8474471849315</v>
      </c>
      <c r="L67" s="39">
        <f ca="1" t="shared" si="2"/>
        <v>43572</v>
      </c>
    </row>
    <row r="68" spans="1:12">
      <c r="A68" s="26" t="str">
        <f t="shared" si="3"/>
        <v>Trode (63)</v>
      </c>
      <c r="B68" s="27">
        <f ca="1" t="shared" si="6"/>
        <v>0.5</v>
      </c>
      <c r="C68" s="28">
        <f ca="1" t="shared" si="4"/>
        <v>0.0625</v>
      </c>
      <c r="D68" s="25">
        <f ca="1" t="shared" si="1"/>
        <v>35.8354790141861</v>
      </c>
      <c r="E68" s="35">
        <f ca="1" t="shared" si="1"/>
        <v>34.3354790141861</v>
      </c>
      <c r="F68" s="25">
        <f ca="1" t="shared" si="1"/>
        <v>41.3764730676149</v>
      </c>
      <c r="G68" s="25">
        <f ca="1" t="shared" si="1"/>
        <v>39.8764730676149</v>
      </c>
      <c r="H68" s="36">
        <v>35.8979790141861</v>
      </c>
      <c r="I68" s="35">
        <v>34.3979790141861</v>
      </c>
      <c r="J68" s="25">
        <v>41.4389730676149</v>
      </c>
      <c r="K68" s="35">
        <v>39.9389730676149</v>
      </c>
      <c r="L68" s="39">
        <f ca="1" t="shared" si="2"/>
        <v>43572</v>
      </c>
    </row>
    <row r="69" spans="1:12">
      <c r="A69" s="26" t="str">
        <f t="shared" si="3"/>
        <v>Trode (64)</v>
      </c>
      <c r="B69" s="27">
        <f ca="1" t="shared" si="6"/>
        <v>0.5</v>
      </c>
      <c r="C69" s="28">
        <f ca="1" t="shared" si="4"/>
        <v>0.0625</v>
      </c>
      <c r="D69" s="25">
        <f ca="1" t="shared" si="1"/>
        <v>35.2843646585571</v>
      </c>
      <c r="E69" s="35">
        <f ca="1" t="shared" si="1"/>
        <v>33.7843646585571</v>
      </c>
      <c r="F69" s="25">
        <f ca="1" t="shared" si="1"/>
        <v>40.909489384906</v>
      </c>
      <c r="G69" s="25">
        <f ca="1" t="shared" si="1"/>
        <v>39.409489384906</v>
      </c>
      <c r="H69" s="36">
        <v>35.3468646585571</v>
      </c>
      <c r="I69" s="35">
        <v>33.8468646585571</v>
      </c>
      <c r="J69" s="25">
        <v>40.971989384906</v>
      </c>
      <c r="K69" s="35">
        <v>39.471989384906</v>
      </c>
      <c r="L69" s="39">
        <f ca="1" t="shared" si="2"/>
        <v>43572</v>
      </c>
    </row>
    <row r="70" spans="1:12">
      <c r="A70" s="26" t="str">
        <f t="shared" si="3"/>
        <v>Trode (65)</v>
      </c>
      <c r="B70" s="27">
        <f ca="1" t="shared" si="6"/>
        <v>0.25</v>
      </c>
      <c r="C70" s="28">
        <f ca="1" t="shared" si="4"/>
        <v>0.03125</v>
      </c>
      <c r="D70" s="25">
        <f ca="1" t="shared" ref="D70:G89" si="10">H70-$C70</f>
        <v>34.5981614009843</v>
      </c>
      <c r="E70" s="35">
        <f ca="1" t="shared" si="10"/>
        <v>33.0981614009843</v>
      </c>
      <c r="F70" s="25">
        <f ca="1" t="shared" si="10"/>
        <v>40.637491785627</v>
      </c>
      <c r="G70" s="25">
        <f ca="1" t="shared" si="10"/>
        <v>39.137491785627</v>
      </c>
      <c r="H70" s="36">
        <v>34.6294114009843</v>
      </c>
      <c r="I70" s="35">
        <v>33.1294114009843</v>
      </c>
      <c r="J70" s="25">
        <v>40.668741785627</v>
      </c>
      <c r="K70" s="35">
        <v>39.168741785627</v>
      </c>
      <c r="L70" s="39">
        <f ca="1" t="shared" ref="L70:L101" si="11">LOOKUP(2,1/(INDIRECT("'"&amp;A70&amp;"'!A4"):INDIRECT("'"&amp;A70&amp;"'!A300")&lt;&gt;""),INDIRECT("'"&amp;A70&amp;"'!A4"):INDIRECT("'"&amp;A70&amp;"'!A300"))</f>
        <v>43572</v>
      </c>
    </row>
    <row r="71" spans="1:12">
      <c r="A71" s="26" t="str">
        <f t="shared" si="3"/>
        <v>Trode (66)</v>
      </c>
      <c r="B71" s="27">
        <f ca="1" t="shared" si="6"/>
        <v>0.5</v>
      </c>
      <c r="C71" s="28">
        <f ca="1" t="shared" ref="C71:C101" si="12">B71/8</f>
        <v>0.0625</v>
      </c>
      <c r="D71" s="25">
        <f ca="1" t="shared" si="10"/>
        <v>34.0637712948627</v>
      </c>
      <c r="E71" s="35">
        <f ca="1" t="shared" si="10"/>
        <v>32.5637712948627</v>
      </c>
      <c r="F71" s="25">
        <f ca="1" t="shared" si="10"/>
        <v>40.304041363846</v>
      </c>
      <c r="G71" s="25">
        <f ca="1" t="shared" si="10"/>
        <v>38.804041363846</v>
      </c>
      <c r="H71" s="36">
        <v>34.1262712948627</v>
      </c>
      <c r="I71" s="35">
        <v>32.6262712948627</v>
      </c>
      <c r="J71" s="25">
        <v>40.366541363846</v>
      </c>
      <c r="K71" s="35">
        <v>38.866541363846</v>
      </c>
      <c r="L71" s="39">
        <f ca="1" t="shared" si="11"/>
        <v>43572</v>
      </c>
    </row>
    <row r="72" spans="1:12">
      <c r="A72" s="26" t="str">
        <f t="shared" ref="A72:A101" si="13">INDEX(Sheetnames,ROW(A72)-4)</f>
        <v>Trode (67)</v>
      </c>
      <c r="B72" s="27">
        <f ca="1" t="shared" si="6"/>
        <v>0.25</v>
      </c>
      <c r="C72" s="28">
        <f ca="1" t="shared" si="12"/>
        <v>0.03125</v>
      </c>
      <c r="D72" s="25">
        <f ca="1" t="shared" si="10"/>
        <v>33.4560068749056</v>
      </c>
      <c r="E72" s="35">
        <f ca="1" t="shared" si="10"/>
        <v>31.9560068749056</v>
      </c>
      <c r="F72" s="25">
        <f ca="1" t="shared" si="10"/>
        <v>39.9712874143622</v>
      </c>
      <c r="G72" s="25">
        <f ca="1" t="shared" si="10"/>
        <v>38.4712874143622</v>
      </c>
      <c r="H72" s="36">
        <v>33.4872568749056</v>
      </c>
      <c r="I72" s="35">
        <v>31.9872568749056</v>
      </c>
      <c r="J72" s="25">
        <v>40.0025374143622</v>
      </c>
      <c r="K72" s="35">
        <v>38.5025374143622</v>
      </c>
      <c r="L72" s="39">
        <f ca="1" t="shared" si="11"/>
        <v>43572</v>
      </c>
    </row>
    <row r="73" spans="1:12">
      <c r="A73" s="26" t="str">
        <f t="shared" si="13"/>
        <v>Trode (68)</v>
      </c>
      <c r="B73" s="27">
        <f ca="1" t="shared" si="6"/>
        <v>0.25</v>
      </c>
      <c r="C73" s="28">
        <f ca="1" t="shared" si="12"/>
        <v>0.03125</v>
      </c>
      <c r="D73" s="25">
        <f ca="1" t="shared" si="10"/>
        <v>32.8269745647238</v>
      </c>
      <c r="E73" s="35">
        <f ca="1" t="shared" si="10"/>
        <v>31.3269745647238</v>
      </c>
      <c r="F73" s="25">
        <f ca="1" t="shared" si="10"/>
        <v>39.37309541788</v>
      </c>
      <c r="G73" s="25">
        <f ca="1" t="shared" si="10"/>
        <v>37.87309541788</v>
      </c>
      <c r="H73" s="36">
        <v>32.8582245647238</v>
      </c>
      <c r="I73" s="35">
        <v>31.3582245647238</v>
      </c>
      <c r="J73" s="25">
        <v>39.40434541788</v>
      </c>
      <c r="K73" s="35">
        <v>37.90434541788</v>
      </c>
      <c r="L73" s="39">
        <f ca="1" t="shared" si="11"/>
        <v>43572</v>
      </c>
    </row>
    <row r="74" spans="1:12">
      <c r="A74" s="26" t="str">
        <f t="shared" si="13"/>
        <v>Trode (69)</v>
      </c>
      <c r="B74" s="27">
        <f ca="1" t="shared" si="6"/>
        <v>0.5</v>
      </c>
      <c r="C74" s="28">
        <f ca="1" t="shared" si="12"/>
        <v>0.0625</v>
      </c>
      <c r="D74" s="25">
        <f ca="1" t="shared" si="10"/>
        <v>32.5292930624024</v>
      </c>
      <c r="E74" s="35">
        <f ca="1" t="shared" si="10"/>
        <v>31.0292930624024</v>
      </c>
      <c r="F74" s="25">
        <f ca="1" t="shared" si="10"/>
        <v>38.7445155468835</v>
      </c>
      <c r="G74" s="25">
        <f ca="1" t="shared" si="10"/>
        <v>37.2445155468835</v>
      </c>
      <c r="H74" s="36">
        <v>32.5917930624024</v>
      </c>
      <c r="I74" s="35">
        <v>31.0917930624024</v>
      </c>
      <c r="J74" s="25">
        <v>38.8070155468835</v>
      </c>
      <c r="K74" s="35">
        <v>37.3070155468835</v>
      </c>
      <c r="L74" s="39">
        <f ca="1" t="shared" si="11"/>
        <v>43572</v>
      </c>
    </row>
    <row r="75" spans="1:12">
      <c r="A75" s="26" t="str">
        <f t="shared" si="13"/>
        <v>Trode (70)</v>
      </c>
      <c r="B75" s="27">
        <f ca="1" t="shared" si="6"/>
        <v>0.25</v>
      </c>
      <c r="C75" s="28">
        <f ca="1" t="shared" si="12"/>
        <v>0.03125</v>
      </c>
      <c r="D75" s="25">
        <f ca="1" t="shared" si="10"/>
        <v>36.2793414006698</v>
      </c>
      <c r="E75" s="35">
        <f ca="1" t="shared" si="10"/>
        <v>34.7793414006698</v>
      </c>
      <c r="F75" s="25">
        <f ca="1" t="shared" si="10"/>
        <v>40.8525713122291</v>
      </c>
      <c r="G75" s="25">
        <f ca="1" t="shared" si="10"/>
        <v>39.3525713122291</v>
      </c>
      <c r="H75" s="36">
        <v>36.3105914006698</v>
      </c>
      <c r="I75" s="35">
        <v>34.8105914006698</v>
      </c>
      <c r="J75" s="25">
        <v>40.8838213122291</v>
      </c>
      <c r="K75" s="35">
        <v>39.3838213122291</v>
      </c>
      <c r="L75" s="39">
        <f ca="1" t="shared" si="11"/>
        <v>43572</v>
      </c>
    </row>
    <row r="76" spans="1:12">
      <c r="A76" s="26" t="str">
        <f t="shared" si="13"/>
        <v>Trode (71)</v>
      </c>
      <c r="B76" s="27">
        <f ca="1" t="shared" si="6"/>
        <v>0.25</v>
      </c>
      <c r="C76" s="28">
        <f ca="1" t="shared" si="12"/>
        <v>0.03125</v>
      </c>
      <c r="D76" s="25">
        <f ca="1" t="shared" si="10"/>
        <v>35.3704668748667</v>
      </c>
      <c r="E76" s="35">
        <f ca="1" t="shared" si="10"/>
        <v>33.8704668748667</v>
      </c>
      <c r="F76" s="25">
        <f ca="1" t="shared" si="10"/>
        <v>40.0898282643548</v>
      </c>
      <c r="G76" s="25">
        <f ca="1" t="shared" si="10"/>
        <v>38.5898282643548</v>
      </c>
      <c r="H76" s="36">
        <v>35.4017168748667</v>
      </c>
      <c r="I76" s="35">
        <v>33.9017168748667</v>
      </c>
      <c r="J76" s="25">
        <v>40.1210782643548</v>
      </c>
      <c r="K76" s="35">
        <v>38.6210782643548</v>
      </c>
      <c r="L76" s="39">
        <f ca="1" t="shared" si="11"/>
        <v>43566</v>
      </c>
    </row>
    <row r="77" spans="1:12">
      <c r="A77" s="26" t="str">
        <f t="shared" si="13"/>
        <v>Trode (72)</v>
      </c>
      <c r="B77" s="27">
        <f ca="1" t="shared" si="6"/>
        <v>0.25</v>
      </c>
      <c r="C77" s="28">
        <f ca="1" t="shared" si="12"/>
        <v>0.03125</v>
      </c>
      <c r="D77" s="25">
        <f ca="1" t="shared" si="10"/>
        <v>35.6625771303548</v>
      </c>
      <c r="E77" s="35">
        <f ca="1" t="shared" si="10"/>
        <v>34.1625771303548</v>
      </c>
      <c r="F77" s="25">
        <f ca="1" t="shared" si="10"/>
        <v>41.2985833669456</v>
      </c>
      <c r="G77" s="25">
        <f ca="1" t="shared" si="10"/>
        <v>39.7985833669456</v>
      </c>
      <c r="H77" s="36">
        <v>35.6938271303548</v>
      </c>
      <c r="I77" s="35">
        <v>34.1938271303548</v>
      </c>
      <c r="J77" s="25">
        <v>41.3298333669456</v>
      </c>
      <c r="K77" s="35">
        <v>39.8298333669456</v>
      </c>
      <c r="L77" s="39">
        <f ca="1" t="shared" si="11"/>
        <v>43572</v>
      </c>
    </row>
    <row r="78" spans="1:12">
      <c r="A78" s="26" t="str">
        <f t="shared" si="13"/>
        <v>Trode (73)</v>
      </c>
      <c r="B78" s="27">
        <f ca="1" t="shared" si="6"/>
        <v>0.5</v>
      </c>
      <c r="C78" s="28">
        <f ca="1" t="shared" si="12"/>
        <v>0.0625</v>
      </c>
      <c r="D78" s="25">
        <f ca="1" t="shared" si="10"/>
        <v>34.9425804678275</v>
      </c>
      <c r="E78" s="35">
        <f ca="1" t="shared" si="10"/>
        <v>33.4425804678275</v>
      </c>
      <c r="F78" s="25">
        <f ca="1" t="shared" si="10"/>
        <v>40.8407073826208</v>
      </c>
      <c r="G78" s="25">
        <f ca="1" t="shared" si="10"/>
        <v>39.3407073826208</v>
      </c>
      <c r="H78" s="36">
        <v>35.0050804678275</v>
      </c>
      <c r="I78" s="35">
        <v>33.5050804678275</v>
      </c>
      <c r="J78" s="25">
        <v>40.9032073826208</v>
      </c>
      <c r="K78" s="35">
        <v>39.4032073826208</v>
      </c>
      <c r="L78" s="39">
        <f ca="1" t="shared" si="11"/>
        <v>43572</v>
      </c>
    </row>
    <row r="79" spans="1:12">
      <c r="A79" s="26" t="str">
        <f t="shared" si="13"/>
        <v>Trode (74)</v>
      </c>
      <c r="B79" s="27">
        <f ca="1" t="shared" si="6"/>
        <v>0.5</v>
      </c>
      <c r="C79" s="28">
        <f ca="1" t="shared" si="12"/>
        <v>0.0625</v>
      </c>
      <c r="D79" s="25">
        <f ca="1" t="shared" si="10"/>
        <v>34.3063517390314</v>
      </c>
      <c r="E79" s="35">
        <f ca="1" t="shared" si="10"/>
        <v>32.8063517390314</v>
      </c>
      <c r="F79" s="25">
        <f ca="1" t="shared" si="10"/>
        <v>40.3837423708681</v>
      </c>
      <c r="G79" s="25">
        <f ca="1" t="shared" si="10"/>
        <v>38.8837423708681</v>
      </c>
      <c r="H79" s="36">
        <v>34.3688517390314</v>
      </c>
      <c r="I79" s="35">
        <v>32.8688517390314</v>
      </c>
      <c r="J79" s="25">
        <v>40.4462423708681</v>
      </c>
      <c r="K79" s="35">
        <v>38.9462423708681</v>
      </c>
      <c r="L79" s="39">
        <f ca="1" t="shared" si="11"/>
        <v>43570</v>
      </c>
    </row>
    <row r="80" spans="1:12">
      <c r="A80" s="26" t="str">
        <f t="shared" si="13"/>
        <v>Trode (75)</v>
      </c>
      <c r="B80" s="27">
        <f ca="1" t="shared" si="6"/>
        <v>0.25</v>
      </c>
      <c r="C80" s="28">
        <f ca="1" t="shared" si="12"/>
        <v>0.03125</v>
      </c>
      <c r="D80" s="25">
        <f ca="1" t="shared" si="10"/>
        <v>33.6152011170495</v>
      </c>
      <c r="E80" s="35">
        <f ca="1" t="shared" si="10"/>
        <v>32.1152011170495</v>
      </c>
      <c r="F80" s="25">
        <f ca="1" t="shared" si="10"/>
        <v>40.1890924915602</v>
      </c>
      <c r="G80" s="25">
        <f ca="1" t="shared" si="10"/>
        <v>38.6890924915602</v>
      </c>
      <c r="H80" s="36">
        <v>33.6464511170495</v>
      </c>
      <c r="I80" s="35">
        <v>32.1464511170495</v>
      </c>
      <c r="J80" s="25">
        <v>40.2203424915602</v>
      </c>
      <c r="K80" s="35">
        <v>38.7203424915602</v>
      </c>
      <c r="L80" s="39">
        <f ca="1" t="shared" si="11"/>
        <v>43572</v>
      </c>
    </row>
    <row r="81" spans="1:12">
      <c r="A81" s="26" t="str">
        <f t="shared" si="13"/>
        <v>Trode (76)</v>
      </c>
      <c r="B81" s="27">
        <f ca="1" t="shared" si="6"/>
        <v>0.5</v>
      </c>
      <c r="C81" s="28">
        <f ca="1" t="shared" si="12"/>
        <v>0.0625</v>
      </c>
      <c r="D81" s="25">
        <f ca="1" t="shared" si="10"/>
        <v>33.048369492139</v>
      </c>
      <c r="E81" s="35">
        <f ca="1" t="shared" si="10"/>
        <v>31.548369492139</v>
      </c>
      <c r="F81" s="25">
        <f ca="1" t="shared" si="10"/>
        <v>39.5664112383992</v>
      </c>
      <c r="G81" s="25">
        <f ca="1" t="shared" si="10"/>
        <v>38.0664112383992</v>
      </c>
      <c r="H81" s="36">
        <v>33.110869492139</v>
      </c>
      <c r="I81" s="35">
        <v>31.610869492139</v>
      </c>
      <c r="J81" s="25">
        <v>39.6289112383992</v>
      </c>
      <c r="K81" s="35">
        <v>38.1289112383992</v>
      </c>
      <c r="L81" s="39">
        <f ca="1" t="shared" si="11"/>
        <v>43572</v>
      </c>
    </row>
    <row r="82" spans="1:12">
      <c r="A82" s="26" t="str">
        <f t="shared" si="13"/>
        <v>Trode (77)</v>
      </c>
      <c r="B82" s="27">
        <f ca="1" t="shared" si="6"/>
        <v>0.25</v>
      </c>
      <c r="C82" s="28">
        <f ca="1" t="shared" si="12"/>
        <v>0.03125</v>
      </c>
      <c r="D82" s="25">
        <f ca="1" t="shared" si="10"/>
        <v>33.0421906025101</v>
      </c>
      <c r="E82" s="35">
        <f ca="1" t="shared" si="10"/>
        <v>31.5421906025101</v>
      </c>
      <c r="F82" s="25">
        <f ca="1" t="shared" si="10"/>
        <v>38.9525660437475</v>
      </c>
      <c r="G82" s="25">
        <f ca="1" t="shared" si="10"/>
        <v>37.4525660437475</v>
      </c>
      <c r="H82" s="36">
        <v>33.0734406025101</v>
      </c>
      <c r="I82" s="35">
        <v>31.5734406025101</v>
      </c>
      <c r="J82" s="25">
        <v>38.9838160437475</v>
      </c>
      <c r="K82" s="35">
        <v>37.4838160437475</v>
      </c>
      <c r="L82" s="39">
        <f ca="1" t="shared" si="11"/>
        <v>43572</v>
      </c>
    </row>
    <row r="83" spans="1:12">
      <c r="A83" s="26" t="str">
        <f t="shared" si="13"/>
        <v>Trode (78)</v>
      </c>
      <c r="B83" s="27" t="str">
        <f ca="1" t="shared" si="6"/>
        <v> </v>
      </c>
      <c r="C83" s="28" t="e">
        <f ca="1" t="shared" si="12"/>
        <v>#VALUE!</v>
      </c>
      <c r="D83" s="25" t="e">
        <f ca="1" t="shared" si="10"/>
        <v>#VALUE!</v>
      </c>
      <c r="E83" s="35" t="e">
        <f ca="1" t="shared" si="10"/>
        <v>#VALUE!</v>
      </c>
      <c r="F83" s="25" t="e">
        <f ca="1" t="shared" si="10"/>
        <v>#VALUE!</v>
      </c>
      <c r="G83" s="25" t="e">
        <f ca="1" t="shared" si="10"/>
        <v>#VALUE!</v>
      </c>
      <c r="H83" s="36">
        <v>36.3952951153062</v>
      </c>
      <c r="I83" s="35">
        <v>34.8952951153062</v>
      </c>
      <c r="J83" s="25">
        <v>40.6616030454816</v>
      </c>
      <c r="K83" s="35">
        <v>39.1616030454816</v>
      </c>
      <c r="L83" s="39">
        <f ca="1" t="shared" si="11"/>
        <v>43572</v>
      </c>
    </row>
    <row r="84" spans="1:12">
      <c r="A84" s="26" t="str">
        <f t="shared" si="13"/>
        <v>Trode (79)</v>
      </c>
      <c r="B84" s="27">
        <f ca="1" t="shared" ref="B84:B100" si="14">LOOKUP(2,1/(INDIRECT("'"&amp;A84&amp;"'!C4"):INDIRECT("'"&amp;A84&amp;"'!C300")&lt;&gt;""),INDIRECT("'"&amp;A84&amp;"'!C4"):INDIRECT("'"&amp;A84&amp;"'!C300"))</f>
        <v>0.25</v>
      </c>
      <c r="C84" s="28">
        <f ca="1" t="shared" si="12"/>
        <v>0.03125</v>
      </c>
      <c r="D84" s="25">
        <f ca="1" t="shared" si="10"/>
        <v>35.5791060409494</v>
      </c>
      <c r="E84" s="35">
        <f ca="1" t="shared" si="10"/>
        <v>34.0791060409494</v>
      </c>
      <c r="F84" s="25">
        <f ca="1" t="shared" si="10"/>
        <v>40.6406689782274</v>
      </c>
      <c r="G84" s="25">
        <f ca="1" t="shared" si="10"/>
        <v>39.1406689782274</v>
      </c>
      <c r="H84" s="36">
        <v>35.6103560409494</v>
      </c>
      <c r="I84" s="35">
        <v>34.1103560409494</v>
      </c>
      <c r="J84" s="25">
        <v>40.6719189782274</v>
      </c>
      <c r="K84" s="35">
        <v>39.1719189782274</v>
      </c>
      <c r="L84" s="39">
        <f ca="1" t="shared" si="11"/>
        <v>43572</v>
      </c>
    </row>
    <row r="85" spans="1:12">
      <c r="A85" s="26" t="str">
        <f t="shared" si="13"/>
        <v>Trode (80)</v>
      </c>
      <c r="B85" s="27">
        <f ca="1" t="shared" si="14"/>
        <v>0.25</v>
      </c>
      <c r="C85" s="28">
        <f ca="1" t="shared" si="12"/>
        <v>0.03125</v>
      </c>
      <c r="D85" s="25">
        <f ca="1" t="shared" si="10"/>
        <v>36.3983445022376</v>
      </c>
      <c r="E85" s="35">
        <f ca="1" t="shared" si="10"/>
        <v>34.8983445022376</v>
      </c>
      <c r="F85" s="25">
        <f ca="1" t="shared" si="10"/>
        <v>41.4746493571199</v>
      </c>
      <c r="G85" s="25">
        <f ca="1" t="shared" si="10"/>
        <v>39.9746493571199</v>
      </c>
      <c r="H85" s="36">
        <v>36.4295945022376</v>
      </c>
      <c r="I85" s="35">
        <v>34.9295945022376</v>
      </c>
      <c r="J85" s="25">
        <v>41.5058993571199</v>
      </c>
      <c r="K85" s="35">
        <v>40.0058993571199</v>
      </c>
      <c r="L85" s="39">
        <f ca="1" t="shared" si="11"/>
        <v>43572</v>
      </c>
    </row>
    <row r="86" spans="1:12">
      <c r="A86" s="26" t="str">
        <f t="shared" si="13"/>
        <v>Trode (81)</v>
      </c>
      <c r="B86" s="27">
        <f ca="1" t="shared" si="14"/>
        <v>0.25</v>
      </c>
      <c r="C86" s="28">
        <f ca="1" t="shared" si="12"/>
        <v>0.03125</v>
      </c>
      <c r="D86" s="25">
        <f ca="1" t="shared" si="10"/>
        <v>35.6944239675543</v>
      </c>
      <c r="E86" s="35">
        <f ca="1" t="shared" si="10"/>
        <v>34.1944239675543</v>
      </c>
      <c r="F86" s="25">
        <f ca="1" t="shared" si="10"/>
        <v>40.8407807299548</v>
      </c>
      <c r="G86" s="25">
        <f ca="1" t="shared" si="10"/>
        <v>39.3407807299548</v>
      </c>
      <c r="H86" s="36">
        <v>35.7256739675543</v>
      </c>
      <c r="I86" s="35">
        <v>34.2256739675543</v>
      </c>
      <c r="J86" s="25">
        <v>40.8720307299548</v>
      </c>
      <c r="K86" s="35">
        <v>39.3720307299548</v>
      </c>
      <c r="L86" s="39">
        <f ca="1" t="shared" si="11"/>
        <v>43572</v>
      </c>
    </row>
    <row r="87" spans="1:12">
      <c r="A87" s="26" t="str">
        <f t="shared" si="13"/>
        <v>Trode (82)</v>
      </c>
      <c r="B87" s="27">
        <f ca="1" t="shared" si="14"/>
        <v>0.5</v>
      </c>
      <c r="C87" s="28">
        <f ca="1" t="shared" si="12"/>
        <v>0.0625</v>
      </c>
      <c r="D87" s="25">
        <f ca="1" t="shared" si="10"/>
        <v>35.407712043633</v>
      </c>
      <c r="E87" s="35">
        <f ca="1" t="shared" si="10"/>
        <v>33.907712043633</v>
      </c>
      <c r="F87" s="25">
        <f ca="1" t="shared" si="10"/>
        <v>40.3271379160798</v>
      </c>
      <c r="G87" s="25">
        <f ca="1" t="shared" si="10"/>
        <v>38.8271379160798</v>
      </c>
      <c r="H87" s="36">
        <v>35.470212043633</v>
      </c>
      <c r="I87" s="35">
        <v>33.970212043633</v>
      </c>
      <c r="J87" s="25">
        <v>40.3896379160798</v>
      </c>
      <c r="K87" s="35">
        <v>38.8896379160798</v>
      </c>
      <c r="L87" s="39">
        <f ca="1" t="shared" si="11"/>
        <v>43572</v>
      </c>
    </row>
    <row r="88" spans="1:12">
      <c r="A88" s="26" t="str">
        <f t="shared" si="13"/>
        <v>Trode (83)</v>
      </c>
      <c r="B88" s="27">
        <f ca="1" t="shared" si="14"/>
        <v>0.25</v>
      </c>
      <c r="C88" s="28">
        <f ca="1" t="shared" si="12"/>
        <v>0.03125</v>
      </c>
      <c r="D88" s="25">
        <f ca="1" t="shared" si="10"/>
        <v>35.7326801285018</v>
      </c>
      <c r="E88" s="35">
        <f ca="1" t="shared" si="10"/>
        <v>34.2326801285018</v>
      </c>
      <c r="F88" s="25">
        <f ca="1" t="shared" si="10"/>
        <v>40.3174370552816</v>
      </c>
      <c r="G88" s="25">
        <f ca="1" t="shared" si="10"/>
        <v>38.8174370552816</v>
      </c>
      <c r="H88" s="36">
        <v>35.7639301285018</v>
      </c>
      <c r="I88" s="35">
        <v>34.2639301285018</v>
      </c>
      <c r="J88" s="25">
        <v>40.3486870552816</v>
      </c>
      <c r="K88" s="35">
        <v>38.8486870552816</v>
      </c>
      <c r="L88" s="39">
        <f ca="1" t="shared" si="11"/>
        <v>43513</v>
      </c>
    </row>
    <row r="89" spans="1:12">
      <c r="A89" s="26" t="str">
        <f t="shared" si="13"/>
        <v>Trode (84)</v>
      </c>
      <c r="B89" s="27">
        <f ca="1" t="shared" si="14"/>
        <v>0.25</v>
      </c>
      <c r="C89" s="28">
        <f ca="1" t="shared" si="12"/>
        <v>0.03125</v>
      </c>
      <c r="D89" s="25">
        <f ca="1" t="shared" si="10"/>
        <v>35.2729935923466</v>
      </c>
      <c r="E89" s="35">
        <f ca="1" t="shared" si="10"/>
        <v>33.7729935923466</v>
      </c>
      <c r="F89" s="25">
        <f ca="1" t="shared" si="10"/>
        <v>39.8012251527734</v>
      </c>
      <c r="G89" s="25">
        <f ca="1" t="shared" si="10"/>
        <v>38.3012251527734</v>
      </c>
      <c r="H89" s="36">
        <v>35.3042435923466</v>
      </c>
      <c r="I89" s="35">
        <v>33.8042435923466</v>
      </c>
      <c r="J89" s="25">
        <v>39.8324751527734</v>
      </c>
      <c r="K89" s="35">
        <v>38.3324751527734</v>
      </c>
      <c r="L89" s="39">
        <f ca="1" t="shared" si="11"/>
        <v>43572</v>
      </c>
    </row>
    <row r="90" spans="1:12">
      <c r="A90" s="26" t="str">
        <f t="shared" si="13"/>
        <v>Trode (85)</v>
      </c>
      <c r="B90" s="27">
        <f ca="1" t="shared" si="14"/>
        <v>0.25</v>
      </c>
      <c r="C90" s="28">
        <f ca="1" t="shared" si="12"/>
        <v>0.03125</v>
      </c>
      <c r="D90" s="25" t="s">
        <v>12</v>
      </c>
      <c r="E90" s="35" t="s">
        <v>12</v>
      </c>
      <c r="F90" s="25">
        <f ca="1" t="shared" ref="F90:G101" si="15">J90-$C90</f>
        <v>39.6472389799623</v>
      </c>
      <c r="G90" s="25">
        <f ca="1" t="shared" si="15"/>
        <v>38.1472389799623</v>
      </c>
      <c r="H90" s="36" t="s">
        <v>12</v>
      </c>
      <c r="I90" s="35" t="s">
        <v>12</v>
      </c>
      <c r="J90" s="25">
        <v>39.6784889799623</v>
      </c>
      <c r="K90" s="35">
        <v>38.1784889799623</v>
      </c>
      <c r="L90" s="39">
        <f ca="1" t="shared" si="11"/>
        <v>43572</v>
      </c>
    </row>
    <row r="91" spans="1:12">
      <c r="A91" s="26" t="str">
        <f t="shared" si="13"/>
        <v>Trode (86)</v>
      </c>
      <c r="B91" s="27">
        <f ca="1" t="shared" si="14"/>
        <v>0.25</v>
      </c>
      <c r="C91" s="28">
        <f ca="1" t="shared" si="12"/>
        <v>0.03125</v>
      </c>
      <c r="D91" s="25" t="s">
        <v>12</v>
      </c>
      <c r="E91" s="35" t="s">
        <v>12</v>
      </c>
      <c r="F91" s="25">
        <f ca="1" t="shared" si="15"/>
        <v>40.4331150197183</v>
      </c>
      <c r="G91" s="25">
        <f ca="1" t="shared" si="15"/>
        <v>38.9331150197183</v>
      </c>
      <c r="H91" s="36" t="s">
        <v>12</v>
      </c>
      <c r="I91" s="35" t="s">
        <v>12</v>
      </c>
      <c r="J91" s="25">
        <v>40.4643650197183</v>
      </c>
      <c r="K91" s="35">
        <v>38.9643650197183</v>
      </c>
      <c r="L91" s="39">
        <f ca="1" t="shared" si="11"/>
        <v>43572</v>
      </c>
    </row>
    <row r="92" spans="1:12">
      <c r="A92" s="26" t="str">
        <f t="shared" si="13"/>
        <v>Trode (87)</v>
      </c>
      <c r="B92" s="27">
        <f ca="1" t="shared" si="14"/>
        <v>0.25</v>
      </c>
      <c r="C92" s="28">
        <f ca="1" t="shared" si="12"/>
        <v>0.03125</v>
      </c>
      <c r="D92" s="25" t="s">
        <v>12</v>
      </c>
      <c r="E92" s="35" t="s">
        <v>12</v>
      </c>
      <c r="F92" s="25">
        <f ca="1" t="shared" si="15"/>
        <v>41.2361743491927</v>
      </c>
      <c r="G92" s="25">
        <f ca="1" t="shared" si="15"/>
        <v>39.7361743491927</v>
      </c>
      <c r="H92" s="36" t="s">
        <v>12</v>
      </c>
      <c r="I92" s="35" t="s">
        <v>12</v>
      </c>
      <c r="J92" s="25">
        <v>41.2674243491927</v>
      </c>
      <c r="K92" s="35">
        <v>39.7674243491927</v>
      </c>
      <c r="L92" s="39">
        <f ca="1" t="shared" si="11"/>
        <v>43572</v>
      </c>
    </row>
    <row r="93" spans="1:12">
      <c r="A93" s="26" t="str">
        <f t="shared" si="13"/>
        <v>Trode (88)</v>
      </c>
      <c r="B93" s="27">
        <f ca="1" t="shared" si="14"/>
        <v>0.25</v>
      </c>
      <c r="C93" s="28">
        <f ca="1" t="shared" si="12"/>
        <v>0.03125</v>
      </c>
      <c r="D93" s="25" t="s">
        <v>12</v>
      </c>
      <c r="E93" s="35" t="s">
        <v>12</v>
      </c>
      <c r="F93" s="25">
        <f ca="1" t="shared" si="15"/>
        <v>41.4075027133182</v>
      </c>
      <c r="G93" s="25">
        <f ca="1" t="shared" si="15"/>
        <v>39.9075027133182</v>
      </c>
      <c r="H93" s="36" t="s">
        <v>12</v>
      </c>
      <c r="I93" s="35" t="s">
        <v>12</v>
      </c>
      <c r="J93" s="25">
        <v>41.4387527133182</v>
      </c>
      <c r="K93" s="35">
        <v>39.9387527133182</v>
      </c>
      <c r="L93" s="39">
        <f ca="1" t="shared" si="11"/>
        <v>43572</v>
      </c>
    </row>
    <row r="94" spans="1:12">
      <c r="A94" s="26" t="str">
        <f t="shared" si="13"/>
        <v>Trode (89)</v>
      </c>
      <c r="B94" s="27">
        <f ca="1" t="shared" si="14"/>
        <v>0.5</v>
      </c>
      <c r="C94" s="28">
        <f ca="1" t="shared" si="12"/>
        <v>0.0625</v>
      </c>
      <c r="D94" s="25" t="s">
        <v>12</v>
      </c>
      <c r="E94" s="35" t="s">
        <v>12</v>
      </c>
      <c r="F94" s="25">
        <f ca="1" t="shared" si="15"/>
        <v>40.511612685519</v>
      </c>
      <c r="G94" s="25">
        <f ca="1" t="shared" si="15"/>
        <v>39.011612685519</v>
      </c>
      <c r="H94" s="36" t="s">
        <v>12</v>
      </c>
      <c r="I94" s="35" t="s">
        <v>12</v>
      </c>
      <c r="J94" s="25">
        <v>40.574112685519</v>
      </c>
      <c r="K94" s="35">
        <v>39.074112685519</v>
      </c>
      <c r="L94" s="39">
        <f ca="1" t="shared" si="11"/>
        <v>43378</v>
      </c>
    </row>
    <row r="95" spans="1:12">
      <c r="A95" s="26" t="str">
        <f t="shared" si="13"/>
        <v>Trode (90)</v>
      </c>
      <c r="B95" s="27">
        <f ca="1" t="shared" si="14"/>
        <v>0.25</v>
      </c>
      <c r="C95" s="28">
        <f ca="1" t="shared" si="12"/>
        <v>0.03125</v>
      </c>
      <c r="D95" s="25" t="s">
        <v>12</v>
      </c>
      <c r="E95" s="35" t="s">
        <v>12</v>
      </c>
      <c r="F95" s="25">
        <f ca="1" t="shared" si="15"/>
        <v>40.066193377672</v>
      </c>
      <c r="G95" s="25">
        <f ca="1" t="shared" si="15"/>
        <v>38.566193377672</v>
      </c>
      <c r="H95" s="36" t="s">
        <v>12</v>
      </c>
      <c r="I95" s="35" t="s">
        <v>12</v>
      </c>
      <c r="J95" s="25">
        <v>40.097443377672</v>
      </c>
      <c r="K95" s="35">
        <v>38.597443377672</v>
      </c>
      <c r="L95" s="39">
        <f ca="1" t="shared" si="11"/>
        <v>43572</v>
      </c>
    </row>
    <row r="96" spans="1:12">
      <c r="A96" s="26" t="str">
        <f t="shared" si="13"/>
        <v>Trode (91)</v>
      </c>
      <c r="B96" s="27">
        <f ca="1" t="shared" si="14"/>
        <v>0.25</v>
      </c>
      <c r="C96" s="28">
        <f ca="1" t="shared" si="12"/>
        <v>0.03125</v>
      </c>
      <c r="D96" s="25" t="s">
        <v>12</v>
      </c>
      <c r="E96" s="35" t="s">
        <v>12</v>
      </c>
      <c r="F96" s="25">
        <f ca="1" t="shared" si="15"/>
        <v>40.5727158491882</v>
      </c>
      <c r="G96" s="25">
        <f ca="1" t="shared" si="15"/>
        <v>39.0727158491882</v>
      </c>
      <c r="H96" s="36" t="s">
        <v>12</v>
      </c>
      <c r="I96" s="35" t="s">
        <v>12</v>
      </c>
      <c r="J96" s="25">
        <v>40.6039658491882</v>
      </c>
      <c r="K96" s="35">
        <v>39.1039658491882</v>
      </c>
      <c r="L96" s="39">
        <f ca="1" t="shared" si="11"/>
        <v>43572</v>
      </c>
    </row>
    <row r="97" spans="1:12">
      <c r="A97" s="26" t="str">
        <f t="shared" si="13"/>
        <v>Trode (92)</v>
      </c>
      <c r="B97" s="27">
        <f ca="1" t="shared" si="14"/>
        <v>1</v>
      </c>
      <c r="C97" s="28">
        <f ca="1" t="shared" si="12"/>
        <v>0.125</v>
      </c>
      <c r="D97" s="25" t="s">
        <v>12</v>
      </c>
      <c r="E97" s="35" t="s">
        <v>12</v>
      </c>
      <c r="F97" s="25">
        <f ca="1" t="shared" si="15"/>
        <v>40.5406016908722</v>
      </c>
      <c r="G97" s="25">
        <f ca="1" t="shared" si="15"/>
        <v>39.0406016908722</v>
      </c>
      <c r="H97" s="36" t="s">
        <v>12</v>
      </c>
      <c r="I97" s="35" t="s">
        <v>12</v>
      </c>
      <c r="J97" s="25">
        <v>40.6656016908722</v>
      </c>
      <c r="K97" s="35">
        <v>39.1656016908722</v>
      </c>
      <c r="L97" s="39">
        <f ca="1" t="shared" si="11"/>
        <v>43363</v>
      </c>
    </row>
    <row r="98" spans="1:12">
      <c r="A98" s="26" t="str">
        <f t="shared" si="13"/>
        <v>Trode (93)</v>
      </c>
      <c r="B98" s="27">
        <f ca="1" t="shared" si="14"/>
        <v>0.25</v>
      </c>
      <c r="C98" s="28">
        <f ca="1" t="shared" si="12"/>
        <v>0.03125</v>
      </c>
      <c r="D98" s="25" t="s">
        <v>12</v>
      </c>
      <c r="E98" s="35" t="s">
        <v>12</v>
      </c>
      <c r="F98" s="48" t="s">
        <v>12</v>
      </c>
      <c r="G98" s="48" t="s">
        <v>12</v>
      </c>
      <c r="H98" s="36" t="s">
        <v>12</v>
      </c>
      <c r="I98" s="35" t="s">
        <v>12</v>
      </c>
      <c r="J98" s="25" t="s">
        <v>12</v>
      </c>
      <c r="K98" s="35" t="s">
        <v>12</v>
      </c>
      <c r="L98" s="39">
        <f ca="1" t="shared" si="11"/>
        <v>43572</v>
      </c>
    </row>
    <row r="99" spans="1:12">
      <c r="A99" s="26" t="str">
        <f t="shared" si="13"/>
        <v>Trode (94)</v>
      </c>
      <c r="B99" s="27">
        <f ca="1" t="shared" si="14"/>
        <v>0.5</v>
      </c>
      <c r="C99" s="28">
        <f ca="1" t="shared" si="12"/>
        <v>0.0625</v>
      </c>
      <c r="D99" s="25" t="s">
        <v>12</v>
      </c>
      <c r="E99" s="35" t="s">
        <v>12</v>
      </c>
      <c r="F99" s="25">
        <f ca="1" t="shared" si="15"/>
        <v>40.7883268763559</v>
      </c>
      <c r="G99" s="25">
        <f ca="1" t="shared" si="15"/>
        <v>39.2883268763559</v>
      </c>
      <c r="H99" s="36" t="s">
        <v>12</v>
      </c>
      <c r="I99" s="35" t="s">
        <v>12</v>
      </c>
      <c r="J99" s="25">
        <v>40.8508268763559</v>
      </c>
      <c r="K99" s="35">
        <v>39.3508268763559</v>
      </c>
      <c r="L99" s="39">
        <f ca="1" t="shared" si="11"/>
        <v>43513</v>
      </c>
    </row>
    <row r="100" spans="1:12">
      <c r="A100" s="26" t="str">
        <f t="shared" si="13"/>
        <v>Trode (95)</v>
      </c>
      <c r="B100" s="27">
        <f ca="1" t="shared" si="14"/>
        <v>0.5</v>
      </c>
      <c r="C100" s="28">
        <f ca="1" t="shared" si="12"/>
        <v>0.0625</v>
      </c>
      <c r="D100" s="25" t="s">
        <v>12</v>
      </c>
      <c r="E100" s="35" t="s">
        <v>12</v>
      </c>
      <c r="F100" s="25">
        <f ca="1" t="shared" si="15"/>
        <v>41.1982382806556</v>
      </c>
      <c r="G100" s="25">
        <f ca="1" t="shared" si="15"/>
        <v>39.6982382806556</v>
      </c>
      <c r="H100" s="36" t="s">
        <v>12</v>
      </c>
      <c r="I100" s="35" t="s">
        <v>12</v>
      </c>
      <c r="J100" s="25">
        <v>41.2607382806556</v>
      </c>
      <c r="K100" s="35">
        <v>39.7607382806556</v>
      </c>
      <c r="L100" s="39">
        <f ca="1" t="shared" si="11"/>
        <v>43572</v>
      </c>
    </row>
    <row r="101" ht="15" spans="1:12">
      <c r="A101" s="26" t="str">
        <f t="shared" si="13"/>
        <v>Trode (96)</v>
      </c>
      <c r="B101" s="42" t="s">
        <v>13</v>
      </c>
      <c r="C101" s="43" t="e">
        <f ca="1" t="shared" si="12"/>
        <v>#VALUE!</v>
      </c>
      <c r="D101" s="25" t="s">
        <v>12</v>
      </c>
      <c r="E101" s="35" t="s">
        <v>12</v>
      </c>
      <c r="F101" s="25" t="e">
        <f ca="1" t="shared" si="15"/>
        <v>#VALUE!</v>
      </c>
      <c r="G101" s="25" t="e">
        <f ca="1" t="shared" si="15"/>
        <v>#VALUE!</v>
      </c>
      <c r="H101" s="49" t="s">
        <v>12</v>
      </c>
      <c r="I101" s="51" t="s">
        <v>12</v>
      </c>
      <c r="J101" s="25">
        <v>40.929662972442</v>
      </c>
      <c r="K101" s="35">
        <v>39.429662972442</v>
      </c>
      <c r="L101" s="39">
        <f ca="1" t="shared" si="11"/>
        <v>43566</v>
      </c>
    </row>
    <row r="102" spans="1:12">
      <c r="A102" s="44"/>
      <c r="B102" s="45"/>
      <c r="C102" s="28"/>
      <c r="D102" s="46"/>
      <c r="E102" s="50"/>
      <c r="F102" s="50"/>
      <c r="G102" s="50"/>
      <c r="J102" s="50"/>
      <c r="K102" s="50"/>
      <c r="L102" s="52"/>
    </row>
    <row r="103" spans="1:3">
      <c r="A103" s="47"/>
      <c r="B103" s="45"/>
      <c r="C103" s="28"/>
    </row>
    <row r="104" spans="1:3">
      <c r="A104" s="47"/>
      <c r="B104" s="45"/>
      <c r="C104" s="28"/>
    </row>
    <row r="105" spans="1:3">
      <c r="A105" s="47"/>
      <c r="B105" s="45"/>
      <c r="C105" s="28"/>
    </row>
    <row r="106" spans="1:3">
      <c r="A106" s="47"/>
      <c r="B106" s="45"/>
      <c r="C106" s="28"/>
    </row>
    <row r="107" spans="1:3">
      <c r="A107" s="47"/>
      <c r="B107" s="45"/>
      <c r="C107" s="28"/>
    </row>
    <row r="108" spans="1:3">
      <c r="A108" s="47"/>
      <c r="B108" s="45"/>
      <c r="C108" s="28"/>
    </row>
    <row r="109" spans="1:3">
      <c r="A109" s="47"/>
      <c r="B109" s="45"/>
      <c r="C109" s="28"/>
    </row>
    <row r="110" spans="1:3">
      <c r="A110" s="47"/>
      <c r="B110" s="45"/>
      <c r="C110" s="28"/>
    </row>
    <row r="111" spans="1:3">
      <c r="A111" s="47"/>
      <c r="B111" s="45"/>
      <c r="C111" s="28"/>
    </row>
    <row r="112" spans="1:3">
      <c r="A112" s="47"/>
      <c r="B112" s="45"/>
      <c r="C112" s="28"/>
    </row>
    <row r="113" spans="1:3">
      <c r="A113" s="47"/>
      <c r="B113" s="45"/>
      <c r="C113" s="28"/>
    </row>
    <row r="114" spans="1:3">
      <c r="A114" s="47"/>
      <c r="B114" s="45"/>
      <c r="C114" s="28"/>
    </row>
    <row r="115" spans="1:3">
      <c r="A115" s="47"/>
      <c r="B115" s="45"/>
      <c r="C115" s="28"/>
    </row>
    <row r="116" spans="1:3">
      <c r="A116" s="47"/>
      <c r="B116" s="45"/>
      <c r="C116" s="28"/>
    </row>
  </sheetData>
  <mergeCells count="4">
    <mergeCell ref="D4:E4"/>
    <mergeCell ref="F4:G4"/>
    <mergeCell ref="H4:I4"/>
    <mergeCell ref="J4:K4"/>
  </mergeCells>
  <conditionalFormatting sqref="F6">
    <cfRule type="cellIs" dxfId="0" priority="33" operator="between">
      <formula>0</formula>
      <formula>100</formula>
    </cfRule>
    <cfRule type="cellIs" dxfId="1" priority="34" operator="between">
      <formula>0</formula>
      <formula>-100</formula>
    </cfRule>
  </conditionalFormatting>
  <conditionalFormatting sqref="G6">
    <cfRule type="cellIs" dxfId="0" priority="15" operator="between">
      <formula>0</formula>
      <formula>100</formula>
    </cfRule>
    <cfRule type="cellIs" dxfId="1" priority="16" operator="between">
      <formula>0</formula>
      <formula>-100</formula>
    </cfRule>
  </conditionalFormatting>
  <conditionalFormatting sqref="B27">
    <cfRule type="cellIs" dxfId="2" priority="48" operator="between">
      <formula>200</formula>
      <formula>500</formula>
    </cfRule>
  </conditionalFormatting>
  <conditionalFormatting sqref="B33">
    <cfRule type="cellIs" dxfId="2" priority="53" operator="between">
      <formula>200</formula>
      <formula>500</formula>
    </cfRule>
  </conditionalFormatting>
  <conditionalFormatting sqref="B44">
    <cfRule type="cellIs" dxfId="2" priority="50" operator="between">
      <formula>200</formula>
      <formula>500</formula>
    </cfRule>
  </conditionalFormatting>
  <conditionalFormatting sqref="B47">
    <cfRule type="cellIs" dxfId="2" priority="51" operator="between">
      <formula>200</formula>
      <formula>500</formula>
    </cfRule>
  </conditionalFormatting>
  <conditionalFormatting sqref="F98">
    <cfRule type="cellIs" dxfId="0" priority="25" operator="between">
      <formula>0</formula>
      <formula>100</formula>
    </cfRule>
    <cfRule type="cellIs" dxfId="1" priority="26" operator="between">
      <formula>0</formula>
      <formula>-100</formula>
    </cfRule>
  </conditionalFormatting>
  <conditionalFormatting sqref="G98">
    <cfRule type="cellIs" dxfId="0" priority="9" operator="between">
      <formula>0</formula>
      <formula>100</formula>
    </cfRule>
    <cfRule type="cellIs" dxfId="1" priority="10" operator="between">
      <formula>0</formula>
      <formula>-100</formula>
    </cfRule>
  </conditionalFormatting>
  <conditionalFormatting sqref="B41:B42">
    <cfRule type="cellIs" dxfId="2" priority="52" operator="between">
      <formula>200</formula>
      <formula>500</formula>
    </cfRule>
  </conditionalFormatting>
  <conditionalFormatting sqref="B75:B77">
    <cfRule type="cellIs" dxfId="2" priority="49" operator="between">
      <formula>200</formula>
      <formula>500</formula>
    </cfRule>
  </conditionalFormatting>
  <conditionalFormatting sqref="B78:B101">
    <cfRule type="cellIs" dxfId="2" priority="42" operator="between">
      <formula>200</formula>
      <formula>500</formula>
    </cfRule>
  </conditionalFormatting>
  <conditionalFormatting sqref="F7:F66">
    <cfRule type="cellIs" dxfId="0" priority="29" operator="between">
      <formula>0</formula>
      <formula>100</formula>
    </cfRule>
    <cfRule type="cellIs" dxfId="1" priority="30" operator="between">
      <formula>0</formula>
      <formula>-100</formula>
    </cfRule>
  </conditionalFormatting>
  <conditionalFormatting sqref="G7:G66">
    <cfRule type="cellIs" dxfId="0" priority="13" operator="between">
      <formula>0</formula>
      <formula>100</formula>
    </cfRule>
    <cfRule type="cellIs" dxfId="1" priority="14" operator="between">
      <formula>0</formula>
      <formula>-100</formula>
    </cfRule>
  </conditionalFormatting>
  <conditionalFormatting sqref="L6:L77">
    <cfRule type="colorScale" priority="43">
      <colorScale>
        <cfvo type="min"/>
        <cfvo type="percentile" val="50"/>
        <cfvo type="max"/>
        <color theme="8" tint="0.399975585192419"/>
        <color theme="9" tint="0.599993896298105"/>
        <color rgb="FFFBF27D"/>
      </colorScale>
    </cfRule>
    <cfRule type="colorScale" priority="44">
      <colorScale>
        <cfvo type="min"/>
        <cfvo type="percentile" val="50"/>
        <cfvo type="max"/>
        <color theme="8" tint="0.399975585192419"/>
        <color theme="9" tint="0.399975585192419"/>
        <color theme="7" tint="0.599993896298105"/>
      </colorScale>
    </cfRule>
    <cfRule type="colorScale" priority="45">
      <colorScale>
        <cfvo type="min"/>
        <cfvo type="percentile" val="50"/>
        <cfvo type="max"/>
        <color theme="4" tint="-0.249977111117893"/>
        <color theme="9" tint="0.399975585192419"/>
        <color rgb="FFFFC000"/>
      </colorScale>
    </cfRule>
    <cfRule type="colorScale" priority="46">
      <colorScale>
        <cfvo type="min"/>
        <cfvo type="percentile" val="50"/>
        <cfvo type="max"/>
        <color theme="4" tint="0.399975585192419"/>
        <color theme="9" tint="0.399975585192419"/>
        <color theme="7" tint="0.599993896298105"/>
      </colorScale>
    </cfRule>
    <cfRule type="colorScale" priority="47">
      <colorScale>
        <cfvo type="min"/>
        <cfvo type="max"/>
        <color rgb="FFFFEF9C"/>
        <color rgb="FF63BE7B"/>
      </colorScale>
    </cfRule>
  </conditionalFormatting>
  <conditionalFormatting sqref="L78:L101">
    <cfRule type="colorScale" priority="55">
      <colorScale>
        <cfvo type="min"/>
        <cfvo type="percentile" val="50"/>
        <cfvo type="max"/>
        <color theme="8" tint="0.399975585192419"/>
        <color theme="9" tint="0.599993896298105"/>
        <color rgb="FFFBF27D"/>
      </colorScale>
    </cfRule>
    <cfRule type="colorScale" priority="56">
      <colorScale>
        <cfvo type="min"/>
        <cfvo type="percentile" val="50"/>
        <cfvo type="max"/>
        <color theme="8" tint="0.399975585192419"/>
        <color theme="9" tint="0.399975585192419"/>
        <color theme="7" tint="0.599993896298105"/>
      </colorScale>
    </cfRule>
    <cfRule type="colorScale" priority="57">
      <colorScale>
        <cfvo type="min"/>
        <cfvo type="percentile" val="50"/>
        <cfvo type="max"/>
        <color theme="4" tint="-0.249977111117893"/>
        <color theme="9" tint="0.399975585192419"/>
        <color rgb="FFFFC000"/>
      </colorScale>
    </cfRule>
    <cfRule type="colorScale" priority="58">
      <colorScale>
        <cfvo type="min"/>
        <cfvo type="percentile" val="50"/>
        <cfvo type="max"/>
        <color theme="4" tint="0.399975585192419"/>
        <color theme="9" tint="0.399975585192419"/>
        <color theme="7" tint="0.599993896298105"/>
      </colorScale>
    </cfRule>
    <cfRule type="colorScale" priority="59">
      <colorScale>
        <cfvo type="min"/>
        <cfvo type="max"/>
        <color rgb="FFFFEF9C"/>
        <color rgb="FF63BE7B"/>
      </colorScale>
    </cfRule>
  </conditionalFormatting>
  <conditionalFormatting sqref="B6:B26;B102:B116;B28:B74">
    <cfRule type="cellIs" dxfId="2" priority="54" operator="between">
      <formula>200</formula>
      <formula>500</formula>
    </cfRule>
  </conditionalFormatting>
  <conditionalFormatting sqref="D6:E101">
    <cfRule type="cellIs" dxfId="0" priority="35" operator="between">
      <formula>0</formula>
      <formula>100</formula>
    </cfRule>
    <cfRule type="cellIs" dxfId="1" priority="36" operator="between">
      <formula>0</formula>
      <formula>-100</formula>
    </cfRule>
  </conditionalFormatting>
  <conditionalFormatting sqref="F67:F97;F99:F101">
    <cfRule type="cellIs" dxfId="0" priority="27" operator="between">
      <formula>0</formula>
      <formula>100</formula>
    </cfRule>
    <cfRule type="cellIs" dxfId="1" priority="28" operator="between">
      <formula>0</formula>
      <formula>-100</formula>
    </cfRule>
  </conditionalFormatting>
  <conditionalFormatting sqref="G67:G97;G99:G101">
    <cfRule type="cellIs" dxfId="0" priority="11" operator="between">
      <formula>0</formula>
      <formula>100</formula>
    </cfRule>
    <cfRule type="cellIs" dxfId="1" priority="12" operator="between">
      <formula>0</formula>
      <formula>-100</formula>
    </cfRule>
  </conditionalFormatting>
  <pageMargins left="0.7" right="0.7" top="0.75" bottom="0.75" header="0.3" footer="0.3"/>
  <pageSetup paperSize="1" scale="97" fitToHeight="0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79"/>
  <sheetViews>
    <sheetView workbookViewId="0">
      <selection activeCell="B22" sqref="B22:C22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1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4">
      <c r="A4" s="8">
        <v>43250</v>
      </c>
      <c r="B4" s="2" t="s">
        <v>24</v>
      </c>
      <c r="C4" s="2">
        <v>60</v>
      </c>
      <c r="D4" s="2">
        <f t="shared" ref="D4:D67" si="0">C4/8</f>
        <v>7.5</v>
      </c>
    </row>
    <row r="5" spans="1:4">
      <c r="A5" s="8">
        <v>43326</v>
      </c>
      <c r="B5" s="2" t="s">
        <v>25</v>
      </c>
      <c r="C5" s="2">
        <v>1</v>
      </c>
      <c r="D5" s="2">
        <f t="shared" si="0"/>
        <v>0.125</v>
      </c>
    </row>
    <row r="6" spans="1:4">
      <c r="A6" s="8">
        <v>43332</v>
      </c>
      <c r="B6" s="2" t="s">
        <v>26</v>
      </c>
      <c r="C6" s="2">
        <v>-15.2</v>
      </c>
      <c r="D6" s="2">
        <v>-1.9</v>
      </c>
    </row>
    <row r="7" spans="1:4">
      <c r="A7" s="8">
        <v>43333</v>
      </c>
      <c r="B7" s="2" t="s">
        <v>25</v>
      </c>
      <c r="C7" s="2">
        <v>2</v>
      </c>
      <c r="D7" s="2">
        <f t="shared" si="0"/>
        <v>0.25</v>
      </c>
    </row>
    <row r="8" spans="1:4">
      <c r="A8" s="8">
        <v>43363</v>
      </c>
      <c r="B8" s="2" t="s">
        <v>27</v>
      </c>
      <c r="C8" s="2">
        <v>4</v>
      </c>
      <c r="D8" s="2">
        <f t="shared" si="0"/>
        <v>0.5</v>
      </c>
    </row>
    <row r="9" spans="1:4">
      <c r="A9" s="8">
        <v>43418</v>
      </c>
      <c r="B9" s="2" t="s">
        <v>28</v>
      </c>
      <c r="C9" s="2">
        <v>0.5</v>
      </c>
      <c r="D9" s="2">
        <f t="shared" si="0"/>
        <v>0.0625</v>
      </c>
    </row>
    <row r="10" spans="1:4">
      <c r="A10" s="8">
        <v>43513</v>
      </c>
      <c r="B10" s="2" t="s">
        <v>27</v>
      </c>
      <c r="C10" s="2">
        <v>0.5</v>
      </c>
      <c r="D10" s="2">
        <f t="shared" si="0"/>
        <v>0.0625</v>
      </c>
    </row>
    <row r="11" spans="1:4">
      <c r="A11" s="8">
        <v>43520</v>
      </c>
      <c r="B11" s="2" t="s">
        <v>29</v>
      </c>
      <c r="C11" s="2">
        <v>0.25</v>
      </c>
      <c r="D11" s="2">
        <f t="shared" si="0"/>
        <v>0.03125</v>
      </c>
    </row>
    <row r="12" spans="4:4">
      <c r="D12" s="2">
        <f t="shared" si="0"/>
        <v>0</v>
      </c>
    </row>
    <row r="13" spans="4:4">
      <c r="D13" s="2">
        <f t="shared" si="0"/>
        <v>0</v>
      </c>
    </row>
    <row r="14" spans="4:4">
      <c r="D14" s="2">
        <f t="shared" si="0"/>
        <v>0</v>
      </c>
    </row>
    <row r="15" spans="1:4">
      <c r="A15" s="8"/>
      <c r="D15" s="2">
        <f t="shared" si="0"/>
        <v>0</v>
      </c>
    </row>
    <row r="16" spans="1:4">
      <c r="A16" s="8"/>
      <c r="D16" s="2">
        <f t="shared" si="0"/>
        <v>0</v>
      </c>
    </row>
    <row r="17" spans="1:4">
      <c r="A17" s="8"/>
      <c r="D17" s="2">
        <f t="shared" si="0"/>
        <v>0</v>
      </c>
    </row>
    <row r="18" spans="4:4">
      <c r="D18" s="2">
        <f t="shared" si="0"/>
        <v>0</v>
      </c>
    </row>
    <row r="19" spans="4:4">
      <c r="D19" s="2">
        <f t="shared" si="0"/>
        <v>0</v>
      </c>
    </row>
    <row r="20" spans="4:4">
      <c r="D20" s="2">
        <f t="shared" si="0"/>
        <v>0</v>
      </c>
    </row>
    <row r="21" spans="4:4">
      <c r="D21" s="2">
        <f t="shared" si="0"/>
        <v>0</v>
      </c>
    </row>
    <row r="22" spans="4:4">
      <c r="D22" s="2">
        <f t="shared" si="0"/>
        <v>0</v>
      </c>
    </row>
    <row r="23" spans="4:4">
      <c r="D23" s="2">
        <f t="shared" si="0"/>
        <v>0</v>
      </c>
    </row>
    <row r="24" spans="4:4">
      <c r="D24" s="2">
        <f t="shared" si="0"/>
        <v>0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ref="D68:D79" si="1">C68/8</f>
        <v>0</v>
      </c>
    </row>
    <row r="69" spans="4:4">
      <c r="D69" s="2">
        <f t="shared" si="1"/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78"/>
  <sheetViews>
    <sheetView workbookViewId="0">
      <selection activeCell="A26" sqref="$A26:$XFD26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2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4">
      <c r="A4" s="8">
        <v>43250</v>
      </c>
      <c r="B4" s="2" t="s">
        <v>27</v>
      </c>
      <c r="C4" s="2">
        <v>84</v>
      </c>
      <c r="D4" s="2">
        <f t="shared" ref="D4:D66" si="0">C4/8</f>
        <v>10.5</v>
      </c>
    </row>
    <row r="5" spans="1:4">
      <c r="A5" s="8">
        <v>43319</v>
      </c>
      <c r="B5" s="2" t="s">
        <v>25</v>
      </c>
      <c r="C5" s="2">
        <v>-24</v>
      </c>
      <c r="D5" s="2">
        <f t="shared" si="0"/>
        <v>-3</v>
      </c>
    </row>
    <row r="6" spans="1:4">
      <c r="A6" s="8">
        <v>43325</v>
      </c>
      <c r="B6" s="2" t="s">
        <v>27</v>
      </c>
      <c r="C6" s="2">
        <v>0.25</v>
      </c>
      <c r="D6" s="2">
        <f t="shared" si="0"/>
        <v>0.03125</v>
      </c>
    </row>
    <row r="7" spans="1:4">
      <c r="A7" s="8">
        <v>43332</v>
      </c>
      <c r="B7" s="2" t="s">
        <v>27</v>
      </c>
      <c r="C7" s="2">
        <v>0.5</v>
      </c>
      <c r="D7" s="2">
        <f t="shared" si="0"/>
        <v>0.0625</v>
      </c>
    </row>
    <row r="8" spans="1:4">
      <c r="A8" s="8">
        <v>43332</v>
      </c>
      <c r="B8" s="2" t="s">
        <v>26</v>
      </c>
      <c r="C8" s="2">
        <v>-15.2</v>
      </c>
      <c r="D8" s="2">
        <f t="shared" si="0"/>
        <v>-1.9</v>
      </c>
    </row>
    <row r="9" spans="1:4">
      <c r="A9" s="8">
        <v>43362</v>
      </c>
      <c r="B9" s="2" t="s">
        <v>27</v>
      </c>
      <c r="C9" s="2">
        <v>0.5</v>
      </c>
      <c r="D9" s="2">
        <f t="shared" si="0"/>
        <v>0.0625</v>
      </c>
    </row>
    <row r="10" spans="1:4">
      <c r="A10" s="8">
        <v>43374</v>
      </c>
      <c r="B10" s="2" t="s">
        <v>28</v>
      </c>
      <c r="C10" s="2">
        <v>0.25</v>
      </c>
      <c r="D10" s="2">
        <f t="shared" si="0"/>
        <v>0.03125</v>
      </c>
    </row>
    <row r="11" spans="1:4">
      <c r="A11" s="8">
        <v>43390</v>
      </c>
      <c r="B11" s="2" t="s">
        <v>28</v>
      </c>
      <c r="C11" s="2">
        <v>0.5</v>
      </c>
      <c r="D11" s="2">
        <f t="shared" si="0"/>
        <v>0.0625</v>
      </c>
    </row>
    <row r="12" spans="1:4">
      <c r="A12" s="8">
        <v>43418</v>
      </c>
      <c r="B12" s="2" t="s">
        <v>28</v>
      </c>
      <c r="C12" s="2">
        <v>0.5</v>
      </c>
      <c r="D12" s="2">
        <f t="shared" si="0"/>
        <v>0.0625</v>
      </c>
    </row>
    <row r="13" spans="1:4">
      <c r="A13" s="8">
        <v>43476</v>
      </c>
      <c r="B13" s="2" t="s">
        <v>28</v>
      </c>
      <c r="C13" s="2">
        <v>0.25</v>
      </c>
      <c r="D13" s="2">
        <f t="shared" si="0"/>
        <v>0.03125</v>
      </c>
    </row>
    <row r="14" spans="1:4">
      <c r="A14" s="8">
        <v>43513</v>
      </c>
      <c r="B14" s="2" t="s">
        <v>27</v>
      </c>
      <c r="C14" s="2">
        <v>0.25</v>
      </c>
      <c r="D14" s="2">
        <f t="shared" si="0"/>
        <v>0.03125</v>
      </c>
    </row>
    <row r="15" spans="1:4">
      <c r="A15" s="8">
        <v>43516</v>
      </c>
      <c r="B15" s="2" t="s">
        <v>27</v>
      </c>
      <c r="C15" s="2">
        <v>0.25</v>
      </c>
      <c r="D15" s="2">
        <f t="shared" si="0"/>
        <v>0.03125</v>
      </c>
    </row>
    <row r="16" spans="1:4">
      <c r="A16" s="8">
        <v>43520</v>
      </c>
      <c r="B16" s="2" t="s">
        <v>29</v>
      </c>
      <c r="C16" s="2">
        <v>0.25</v>
      </c>
      <c r="D16" s="2">
        <f t="shared" si="0"/>
        <v>0.03125</v>
      </c>
    </row>
    <row r="17" spans="1:4">
      <c r="A17" s="8">
        <v>43523</v>
      </c>
      <c r="B17" s="2" t="s">
        <v>29</v>
      </c>
      <c r="C17" s="2">
        <v>0.25</v>
      </c>
      <c r="D17" s="2">
        <f t="shared" si="0"/>
        <v>0.03125</v>
      </c>
    </row>
    <row r="18" spans="1:4">
      <c r="A18" s="8">
        <v>43536</v>
      </c>
      <c r="B18" s="2" t="s">
        <v>29</v>
      </c>
      <c r="C18" s="2">
        <v>0.25</v>
      </c>
      <c r="D18" s="2">
        <f t="shared" si="0"/>
        <v>0.03125</v>
      </c>
    </row>
    <row r="19" spans="1:4">
      <c r="A19" s="8">
        <v>43549</v>
      </c>
      <c r="B19" s="2" t="s">
        <v>29</v>
      </c>
      <c r="C19" s="2">
        <v>0.25</v>
      </c>
      <c r="D19" s="2">
        <f t="shared" si="0"/>
        <v>0.03125</v>
      </c>
    </row>
    <row r="20" spans="1:4">
      <c r="A20" s="8">
        <v>43550</v>
      </c>
      <c r="B20" s="2" t="s">
        <v>29</v>
      </c>
      <c r="C20" s="2">
        <v>0.25</v>
      </c>
      <c r="D20" s="2">
        <f t="shared" si="0"/>
        <v>0.03125</v>
      </c>
    </row>
    <row r="21" spans="1:4">
      <c r="A21" s="8">
        <v>43551</v>
      </c>
      <c r="B21" s="2" t="s">
        <v>29</v>
      </c>
      <c r="C21" s="2">
        <v>0.25</v>
      </c>
      <c r="D21" s="2">
        <f t="shared" si="0"/>
        <v>0.03125</v>
      </c>
    </row>
    <row r="22" spans="1:4">
      <c r="A22" s="8">
        <v>43558</v>
      </c>
      <c r="B22" s="2" t="s">
        <v>29</v>
      </c>
      <c r="C22" s="2">
        <v>0.25</v>
      </c>
      <c r="D22" s="2">
        <f t="shared" si="0"/>
        <v>0.03125</v>
      </c>
    </row>
    <row r="23" spans="1:4">
      <c r="A23" s="8">
        <v>43564</v>
      </c>
      <c r="B23" s="2" t="s">
        <v>27</v>
      </c>
      <c r="C23" s="2">
        <v>0.25</v>
      </c>
      <c r="D23" s="2">
        <f t="shared" si="0"/>
        <v>0.03125</v>
      </c>
    </row>
    <row r="24" spans="1:4">
      <c r="A24" s="8">
        <v>43566</v>
      </c>
      <c r="B24" s="2" t="s">
        <v>27</v>
      </c>
      <c r="C24" s="2">
        <v>0.5</v>
      </c>
      <c r="D24" s="2">
        <f t="shared" si="0"/>
        <v>0.0625</v>
      </c>
    </row>
    <row r="25" spans="1:4">
      <c r="A25" s="8">
        <v>43570</v>
      </c>
      <c r="B25" s="2" t="s">
        <v>29</v>
      </c>
      <c r="C25" s="2">
        <v>0.25</v>
      </c>
      <c r="D25" s="2">
        <f t="shared" si="0"/>
        <v>0.03125</v>
      </c>
    </row>
    <row r="26" spans="1:4">
      <c r="A26" s="8">
        <v>43572</v>
      </c>
      <c r="B26" s="2" t="s">
        <v>29</v>
      </c>
      <c r="C26" s="2">
        <v>0.25</v>
      </c>
      <c r="D26" s="2">
        <f t="shared" si="0"/>
        <v>0.03125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ref="D67:D78" si="1">C67/8</f>
        <v>0</v>
      </c>
    </row>
    <row r="68" spans="4:4">
      <c r="D68" s="2">
        <f t="shared" si="1"/>
        <v>0</v>
      </c>
    </row>
    <row r="69" spans="4:4">
      <c r="D69" s="2">
        <f t="shared" si="1"/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79"/>
  <sheetViews>
    <sheetView workbookViewId="0">
      <selection activeCell="A22" sqref="$A22:$XFD22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3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4">
      <c r="A4" s="8">
        <v>43250</v>
      </c>
      <c r="B4" s="2" t="s">
        <v>27</v>
      </c>
      <c r="C4" s="2">
        <v>80</v>
      </c>
      <c r="D4" s="2">
        <f t="shared" ref="D4:D67" si="0">C4/8</f>
        <v>10</v>
      </c>
    </row>
    <row r="5" spans="1:4">
      <c r="A5" s="8">
        <v>43320</v>
      </c>
      <c r="B5" s="2" t="s">
        <v>25</v>
      </c>
      <c r="C5" s="2">
        <v>0.5</v>
      </c>
      <c r="D5" s="2">
        <f t="shared" si="0"/>
        <v>0.0625</v>
      </c>
    </row>
    <row r="6" spans="1:4">
      <c r="A6" s="8">
        <v>43326</v>
      </c>
      <c r="B6" s="2" t="s">
        <v>25</v>
      </c>
      <c r="C6" s="2">
        <v>0.25</v>
      </c>
      <c r="D6" s="2">
        <f t="shared" si="0"/>
        <v>0.03125</v>
      </c>
    </row>
    <row r="7" spans="1:4">
      <c r="A7" s="8">
        <v>43332</v>
      </c>
      <c r="B7" s="2" t="s">
        <v>26</v>
      </c>
      <c r="C7" s="2">
        <v>-15.2</v>
      </c>
      <c r="D7" s="2">
        <f t="shared" si="0"/>
        <v>-1.9</v>
      </c>
    </row>
    <row r="8" spans="1:4">
      <c r="A8" s="8">
        <v>43333</v>
      </c>
      <c r="B8" s="2" t="s">
        <v>25</v>
      </c>
      <c r="C8" s="2">
        <v>0.5</v>
      </c>
      <c r="D8" s="2">
        <f t="shared" si="0"/>
        <v>0.0625</v>
      </c>
    </row>
    <row r="9" spans="1:4">
      <c r="A9" s="8">
        <v>43363</v>
      </c>
      <c r="B9" s="2" t="s">
        <v>27</v>
      </c>
      <c r="C9" s="2">
        <v>2</v>
      </c>
      <c r="D9" s="2">
        <f t="shared" si="0"/>
        <v>0.25</v>
      </c>
    </row>
    <row r="10" spans="1:4">
      <c r="A10" s="8">
        <v>43376</v>
      </c>
      <c r="B10" s="2" t="s">
        <v>28</v>
      </c>
      <c r="C10" s="2">
        <v>0.5</v>
      </c>
      <c r="D10" s="2">
        <f t="shared" si="0"/>
        <v>0.0625</v>
      </c>
    </row>
    <row r="11" spans="1:4">
      <c r="A11" s="8">
        <v>43405</v>
      </c>
      <c r="B11" s="2" t="s">
        <v>28</v>
      </c>
      <c r="C11" s="2">
        <v>0.5</v>
      </c>
      <c r="D11" s="2">
        <f t="shared" si="0"/>
        <v>0.0625</v>
      </c>
    </row>
    <row r="12" spans="1:4">
      <c r="A12" s="8">
        <v>43475</v>
      </c>
      <c r="B12" s="2" t="s">
        <v>28</v>
      </c>
      <c r="C12" s="2">
        <v>0.25</v>
      </c>
      <c r="D12" s="2">
        <f t="shared" si="0"/>
        <v>0.03125</v>
      </c>
    </row>
    <row r="13" spans="1:4">
      <c r="A13" s="8">
        <v>43495</v>
      </c>
      <c r="B13" s="2" t="s">
        <v>28</v>
      </c>
      <c r="C13" s="2">
        <v>0.25</v>
      </c>
      <c r="D13" s="2">
        <f t="shared" si="0"/>
        <v>0.03125</v>
      </c>
    </row>
    <row r="14" spans="1:4">
      <c r="A14" s="8">
        <v>43513</v>
      </c>
      <c r="B14" s="2" t="s">
        <v>27</v>
      </c>
      <c r="C14" s="2">
        <v>0.25</v>
      </c>
      <c r="D14" s="2">
        <f t="shared" si="0"/>
        <v>0.03125</v>
      </c>
    </row>
    <row r="15" spans="1:4">
      <c r="A15" s="8">
        <v>43520</v>
      </c>
      <c r="B15" s="2" t="s">
        <v>29</v>
      </c>
      <c r="C15" s="2">
        <v>0.25</v>
      </c>
      <c r="D15" s="2">
        <f t="shared" si="0"/>
        <v>0.03125</v>
      </c>
    </row>
    <row r="16" spans="1:4">
      <c r="A16" s="8">
        <v>43536</v>
      </c>
      <c r="B16" s="2" t="s">
        <v>29</v>
      </c>
      <c r="C16" s="2">
        <v>0.25</v>
      </c>
      <c r="D16" s="2">
        <f t="shared" si="0"/>
        <v>0.03125</v>
      </c>
    </row>
    <row r="17" spans="1:4">
      <c r="A17" s="8">
        <v>43549</v>
      </c>
      <c r="B17" s="2" t="s">
        <v>29</v>
      </c>
      <c r="C17" s="2">
        <v>0.25</v>
      </c>
      <c r="D17" s="2">
        <f t="shared" si="0"/>
        <v>0.03125</v>
      </c>
    </row>
    <row r="18" spans="1:4">
      <c r="A18" s="8">
        <v>43550</v>
      </c>
      <c r="B18" s="2" t="s">
        <v>29</v>
      </c>
      <c r="C18" s="2">
        <v>0.25</v>
      </c>
      <c r="D18" s="2">
        <f t="shared" si="0"/>
        <v>0.03125</v>
      </c>
    </row>
    <row r="19" spans="1:4">
      <c r="A19" s="8">
        <v>43564</v>
      </c>
      <c r="B19" s="2" t="s">
        <v>27</v>
      </c>
      <c r="C19" s="2">
        <v>0.25</v>
      </c>
      <c r="D19" s="2">
        <f t="shared" ref="D19:D20" si="1">C19/8</f>
        <v>0.03125</v>
      </c>
    </row>
    <row r="20" spans="1:4">
      <c r="A20" s="8">
        <v>43566</v>
      </c>
      <c r="B20" s="2" t="s">
        <v>27</v>
      </c>
      <c r="C20" s="2">
        <v>0.5</v>
      </c>
      <c r="D20" s="2">
        <f t="shared" si="1"/>
        <v>0.0625</v>
      </c>
    </row>
    <row r="21" spans="1:4">
      <c r="A21" s="8">
        <v>43570</v>
      </c>
      <c r="B21" s="2" t="s">
        <v>29</v>
      </c>
      <c r="C21" s="2">
        <v>0.25</v>
      </c>
      <c r="D21" s="2">
        <f t="shared" ref="D21:D22" si="2">C21/8</f>
        <v>0.03125</v>
      </c>
    </row>
    <row r="22" spans="1:4">
      <c r="A22" s="8">
        <v>43572</v>
      </c>
      <c r="B22" s="2" t="s">
        <v>29</v>
      </c>
      <c r="C22" s="2">
        <v>0.25</v>
      </c>
      <c r="D22" s="2">
        <f t="shared" si="2"/>
        <v>0.03125</v>
      </c>
    </row>
    <row r="23" spans="4:4">
      <c r="D23" s="2">
        <f t="shared" si="0"/>
        <v>0</v>
      </c>
    </row>
    <row r="24" spans="4:4">
      <c r="D24" s="2">
        <f t="shared" si="0"/>
        <v>0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ref="D68:D79" si="3">C68/8</f>
        <v>0</v>
      </c>
    </row>
    <row r="69" spans="4:4">
      <c r="D69" s="2">
        <f t="shared" si="3"/>
        <v>0</v>
      </c>
    </row>
    <row r="70" spans="4:4">
      <c r="D70" s="2">
        <f t="shared" si="3"/>
        <v>0</v>
      </c>
    </row>
    <row r="71" spans="4:4">
      <c r="D71" s="2">
        <f t="shared" si="3"/>
        <v>0</v>
      </c>
    </row>
    <row r="72" spans="4:4">
      <c r="D72" s="2">
        <f t="shared" si="3"/>
        <v>0</v>
      </c>
    </row>
    <row r="73" spans="4:4">
      <c r="D73" s="2">
        <f t="shared" si="3"/>
        <v>0</v>
      </c>
    </row>
    <row r="74" spans="4:4">
      <c r="D74" s="2">
        <f t="shared" si="3"/>
        <v>0</v>
      </c>
    </row>
    <row r="75" spans="4:4">
      <c r="D75" s="2">
        <f t="shared" si="3"/>
        <v>0</v>
      </c>
    </row>
    <row r="76" spans="4:4">
      <c r="D76" s="2">
        <f t="shared" si="3"/>
        <v>0</v>
      </c>
    </row>
    <row r="77" spans="4:4">
      <c r="D77" s="2">
        <f t="shared" si="3"/>
        <v>0</v>
      </c>
    </row>
    <row r="78" spans="4:4">
      <c r="D78" s="2">
        <f t="shared" si="3"/>
        <v>0</v>
      </c>
    </row>
    <row r="79" spans="4:4">
      <c r="D79" s="2">
        <f t="shared" si="3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79"/>
  <sheetViews>
    <sheetView topLeftCell="A4" workbookViewId="0">
      <selection activeCell="A25" sqref="$A25:$XFD25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4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4">
      <c r="A4" s="8">
        <v>43250</v>
      </c>
      <c r="B4" s="2" t="s">
        <v>27</v>
      </c>
      <c r="C4" s="2">
        <v>96</v>
      </c>
      <c r="D4" s="2">
        <f t="shared" ref="D4:D67" si="0">C4/8</f>
        <v>12</v>
      </c>
    </row>
    <row r="5" spans="1:4">
      <c r="A5" s="8">
        <v>43319</v>
      </c>
      <c r="B5" s="2" t="s">
        <v>25</v>
      </c>
      <c r="C5" s="2">
        <v>-16</v>
      </c>
      <c r="D5" s="2">
        <f t="shared" si="0"/>
        <v>-2</v>
      </c>
    </row>
    <row r="6" spans="1:4">
      <c r="A6" s="8">
        <v>43326</v>
      </c>
      <c r="B6" s="2" t="s">
        <v>25</v>
      </c>
      <c r="C6" s="2">
        <v>0.25</v>
      </c>
      <c r="D6" s="2">
        <f t="shared" si="0"/>
        <v>0.03125</v>
      </c>
    </row>
    <row r="7" spans="1:4">
      <c r="A7" s="8">
        <v>43332</v>
      </c>
      <c r="B7" s="2" t="s">
        <v>27</v>
      </c>
      <c r="C7" s="2">
        <v>0.25</v>
      </c>
      <c r="D7" s="2">
        <f t="shared" si="0"/>
        <v>0.03125</v>
      </c>
    </row>
    <row r="8" spans="1:4">
      <c r="A8" s="8">
        <v>43332</v>
      </c>
      <c r="B8" s="2" t="s">
        <v>26</v>
      </c>
      <c r="C8" s="2">
        <v>-15.2</v>
      </c>
      <c r="D8" s="2">
        <f t="shared" si="0"/>
        <v>-1.9</v>
      </c>
    </row>
    <row r="9" spans="1:4">
      <c r="A9" s="8">
        <v>43363</v>
      </c>
      <c r="B9" s="2" t="s">
        <v>27</v>
      </c>
      <c r="C9" s="2">
        <v>1</v>
      </c>
      <c r="D9" s="2">
        <f t="shared" si="0"/>
        <v>0.125</v>
      </c>
    </row>
    <row r="10" spans="1:4">
      <c r="A10" s="8">
        <v>43375</v>
      </c>
      <c r="B10" s="2" t="s">
        <v>28</v>
      </c>
      <c r="C10" s="2">
        <v>0.25</v>
      </c>
      <c r="D10" s="2">
        <f t="shared" si="0"/>
        <v>0.03125</v>
      </c>
    </row>
    <row r="11" spans="1:4">
      <c r="A11" s="8">
        <v>43391</v>
      </c>
      <c r="B11" s="2" t="s">
        <v>28</v>
      </c>
      <c r="C11" s="2">
        <v>0.5</v>
      </c>
      <c r="D11" s="2">
        <f t="shared" si="0"/>
        <v>0.0625</v>
      </c>
    </row>
    <row r="12" spans="1:4">
      <c r="A12" s="8">
        <v>43418</v>
      </c>
      <c r="B12" s="2" t="s">
        <v>28</v>
      </c>
      <c r="C12" s="2">
        <v>0.25</v>
      </c>
      <c r="D12" s="2">
        <f t="shared" si="0"/>
        <v>0.03125</v>
      </c>
    </row>
    <row r="13" spans="1:4">
      <c r="A13" s="8">
        <v>43475</v>
      </c>
      <c r="B13" s="2" t="s">
        <v>28</v>
      </c>
      <c r="C13" s="2">
        <v>0.25</v>
      </c>
      <c r="D13" s="2">
        <f t="shared" si="0"/>
        <v>0.03125</v>
      </c>
    </row>
    <row r="14" spans="1:4">
      <c r="A14" s="8">
        <v>43513</v>
      </c>
      <c r="B14" s="2" t="s">
        <v>27</v>
      </c>
      <c r="C14" s="2">
        <v>0.25</v>
      </c>
      <c r="D14" s="2">
        <f t="shared" si="0"/>
        <v>0.03125</v>
      </c>
    </row>
    <row r="15" spans="1:4">
      <c r="A15" s="8">
        <v>43520</v>
      </c>
      <c r="B15" s="2" t="s">
        <v>29</v>
      </c>
      <c r="C15" s="2">
        <v>0.25</v>
      </c>
      <c r="D15" s="2">
        <f t="shared" si="0"/>
        <v>0.03125</v>
      </c>
    </row>
    <row r="16" spans="1:4">
      <c r="A16" s="8">
        <v>43523</v>
      </c>
      <c r="B16" s="2" t="s">
        <v>29</v>
      </c>
      <c r="C16" s="2">
        <v>0.25</v>
      </c>
      <c r="D16" s="2">
        <f t="shared" si="0"/>
        <v>0.03125</v>
      </c>
    </row>
    <row r="17" spans="1:4">
      <c r="A17" s="8">
        <v>43536</v>
      </c>
      <c r="B17" s="2" t="s">
        <v>29</v>
      </c>
      <c r="C17" s="2">
        <v>0.25</v>
      </c>
      <c r="D17" s="2">
        <f t="shared" si="0"/>
        <v>0.03125</v>
      </c>
    </row>
    <row r="18" spans="1:4">
      <c r="A18" s="8">
        <v>43549</v>
      </c>
      <c r="B18" s="2" t="s">
        <v>29</v>
      </c>
      <c r="C18" s="2">
        <v>0.25</v>
      </c>
      <c r="D18" s="2">
        <f t="shared" si="0"/>
        <v>0.03125</v>
      </c>
    </row>
    <row r="19" spans="1:4">
      <c r="A19" s="8">
        <v>43550</v>
      </c>
      <c r="B19" s="2" t="s">
        <v>29</v>
      </c>
      <c r="C19" s="2">
        <v>0.25</v>
      </c>
      <c r="D19" s="2">
        <f t="shared" si="0"/>
        <v>0.03125</v>
      </c>
    </row>
    <row r="20" spans="1:4">
      <c r="A20" s="8">
        <v>43551</v>
      </c>
      <c r="B20" s="2" t="s">
        <v>29</v>
      </c>
      <c r="C20" s="2">
        <v>0.25</v>
      </c>
      <c r="D20" s="2">
        <f t="shared" si="0"/>
        <v>0.03125</v>
      </c>
    </row>
    <row r="21" spans="1:4">
      <c r="A21" s="8">
        <v>43558</v>
      </c>
      <c r="B21" s="2" t="s">
        <v>29</v>
      </c>
      <c r="C21" s="2">
        <v>0.25</v>
      </c>
      <c r="D21" s="2">
        <f t="shared" si="0"/>
        <v>0.03125</v>
      </c>
    </row>
    <row r="22" spans="1:4">
      <c r="A22" s="8">
        <v>43564</v>
      </c>
      <c r="B22" s="2" t="s">
        <v>27</v>
      </c>
      <c r="C22" s="2">
        <v>0.5</v>
      </c>
      <c r="D22" s="2">
        <f t="shared" si="0"/>
        <v>0.0625</v>
      </c>
    </row>
    <row r="23" spans="1:4">
      <c r="A23" s="8">
        <v>43566</v>
      </c>
      <c r="B23" s="2" t="s">
        <v>27</v>
      </c>
      <c r="C23" s="2">
        <v>0.5</v>
      </c>
      <c r="D23" s="2">
        <f t="shared" si="0"/>
        <v>0.0625</v>
      </c>
    </row>
    <row r="24" spans="1:4">
      <c r="A24" s="8">
        <v>43570</v>
      </c>
      <c r="B24" s="2" t="s">
        <v>29</v>
      </c>
      <c r="C24" s="2">
        <v>0.25</v>
      </c>
      <c r="D24" s="2">
        <f t="shared" si="0"/>
        <v>0.03125</v>
      </c>
    </row>
    <row r="25" spans="1:4">
      <c r="A25" s="8">
        <v>43572</v>
      </c>
      <c r="B25" s="2" t="s">
        <v>29</v>
      </c>
      <c r="C25" s="2">
        <v>0.25</v>
      </c>
      <c r="D25" s="2">
        <f t="shared" si="0"/>
        <v>0.03125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ref="D68:D79" si="1">C68/8</f>
        <v>0</v>
      </c>
    </row>
    <row r="69" spans="4:4">
      <c r="D69" s="2">
        <f t="shared" si="1"/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80"/>
  <sheetViews>
    <sheetView workbookViewId="0">
      <selection activeCell="A24" sqref="$A24:$XFD24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5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4">
      <c r="A4" s="8">
        <v>43250</v>
      </c>
      <c r="B4" s="2" t="s">
        <v>27</v>
      </c>
      <c r="C4" s="2">
        <v>64.75</v>
      </c>
      <c r="D4" s="2">
        <f t="shared" ref="D4:D68" si="0">C4/8</f>
        <v>8.09375</v>
      </c>
    </row>
    <row r="5" spans="1:4">
      <c r="A5" s="8">
        <v>43319</v>
      </c>
      <c r="B5" s="2" t="s">
        <v>25</v>
      </c>
      <c r="C5" s="2">
        <v>-4</v>
      </c>
      <c r="D5" s="2">
        <f t="shared" si="0"/>
        <v>-0.5</v>
      </c>
    </row>
    <row r="6" spans="1:4">
      <c r="A6" s="8">
        <v>43325</v>
      </c>
      <c r="B6" s="2" t="s">
        <v>27</v>
      </c>
      <c r="C6" s="2">
        <v>0.25</v>
      </c>
      <c r="D6" s="2">
        <f t="shared" si="0"/>
        <v>0.03125</v>
      </c>
    </row>
    <row r="7" spans="1:4">
      <c r="A7" s="8">
        <v>43332</v>
      </c>
      <c r="B7" s="2" t="s">
        <v>27</v>
      </c>
      <c r="C7" s="2">
        <v>0.25</v>
      </c>
      <c r="D7" s="2">
        <f t="shared" si="0"/>
        <v>0.03125</v>
      </c>
    </row>
    <row r="8" spans="1:4">
      <c r="A8" s="8">
        <v>43332</v>
      </c>
      <c r="B8" s="2" t="s">
        <v>26</v>
      </c>
      <c r="C8" s="2">
        <v>-15.2</v>
      </c>
      <c r="D8" s="2">
        <f t="shared" si="0"/>
        <v>-1.9</v>
      </c>
    </row>
    <row r="9" spans="1:4">
      <c r="A9" s="8">
        <v>43390</v>
      </c>
      <c r="B9" s="2" t="s">
        <v>28</v>
      </c>
      <c r="C9" s="2">
        <v>0.5</v>
      </c>
      <c r="D9" s="2">
        <f t="shared" si="0"/>
        <v>0.0625</v>
      </c>
    </row>
    <row r="10" spans="1:4">
      <c r="A10" s="8">
        <v>43476</v>
      </c>
      <c r="B10" s="2" t="s">
        <v>28</v>
      </c>
      <c r="C10" s="2">
        <v>0.25</v>
      </c>
      <c r="D10" s="2">
        <f t="shared" si="0"/>
        <v>0.03125</v>
      </c>
    </row>
    <row r="11" spans="1:4">
      <c r="A11" s="8">
        <v>43489</v>
      </c>
      <c r="B11" s="2" t="s">
        <v>28</v>
      </c>
      <c r="C11" s="2">
        <v>0.25</v>
      </c>
      <c r="D11" s="2">
        <f t="shared" si="0"/>
        <v>0.03125</v>
      </c>
    </row>
    <row r="12" spans="1:4">
      <c r="A12" s="8">
        <v>43493</v>
      </c>
      <c r="B12" s="2" t="s">
        <v>28</v>
      </c>
      <c r="C12" s="2">
        <v>0.25</v>
      </c>
      <c r="D12" s="2">
        <f t="shared" si="0"/>
        <v>0.03125</v>
      </c>
    </row>
    <row r="13" spans="1:4">
      <c r="A13" s="8">
        <v>43513</v>
      </c>
      <c r="B13" s="2" t="s">
        <v>27</v>
      </c>
      <c r="C13" s="2">
        <v>0.25</v>
      </c>
      <c r="D13" s="2">
        <f t="shared" si="0"/>
        <v>0.03125</v>
      </c>
    </row>
    <row r="14" spans="1:4">
      <c r="A14" s="8">
        <v>43516</v>
      </c>
      <c r="B14" s="2" t="s">
        <v>27</v>
      </c>
      <c r="C14" s="2">
        <v>0.25</v>
      </c>
      <c r="D14" s="2">
        <f t="shared" si="0"/>
        <v>0.03125</v>
      </c>
    </row>
    <row r="15" spans="1:4">
      <c r="A15" s="8">
        <v>43520</v>
      </c>
      <c r="B15" s="2" t="s">
        <v>29</v>
      </c>
      <c r="C15" s="2">
        <v>0.25</v>
      </c>
      <c r="D15" s="2">
        <f t="shared" si="0"/>
        <v>0.03125</v>
      </c>
    </row>
    <row r="16" spans="1:4">
      <c r="A16" s="8">
        <v>43523</v>
      </c>
      <c r="B16" s="2" t="s">
        <v>29</v>
      </c>
      <c r="C16" s="2">
        <v>0.25</v>
      </c>
      <c r="D16" s="2">
        <f t="shared" si="0"/>
        <v>0.03125</v>
      </c>
    </row>
    <row r="17" spans="1:4">
      <c r="A17" s="8">
        <v>43536</v>
      </c>
      <c r="B17" s="2" t="s">
        <v>29</v>
      </c>
      <c r="C17" s="2">
        <v>0.25</v>
      </c>
      <c r="D17" s="2">
        <f t="shared" si="0"/>
        <v>0.03125</v>
      </c>
    </row>
    <row r="18" spans="1:4">
      <c r="A18" s="8">
        <v>43549</v>
      </c>
      <c r="B18" s="2" t="s">
        <v>29</v>
      </c>
      <c r="C18" s="2">
        <v>0.25</v>
      </c>
      <c r="D18" s="2">
        <f t="shared" si="0"/>
        <v>0.03125</v>
      </c>
    </row>
    <row r="19" spans="1:4">
      <c r="A19" s="8">
        <v>43551</v>
      </c>
      <c r="B19" s="2" t="s">
        <v>29</v>
      </c>
      <c r="C19" s="2">
        <v>0.25</v>
      </c>
      <c r="D19" s="2">
        <f t="shared" si="0"/>
        <v>0.03125</v>
      </c>
    </row>
    <row r="20" spans="1:4">
      <c r="A20" s="8">
        <v>43558</v>
      </c>
      <c r="B20" s="2" t="s">
        <v>29</v>
      </c>
      <c r="C20" s="2">
        <v>0.25</v>
      </c>
      <c r="D20" s="2">
        <f t="shared" si="0"/>
        <v>0.03125</v>
      </c>
    </row>
    <row r="21" spans="1:4">
      <c r="A21" s="8">
        <v>43564</v>
      </c>
      <c r="B21" s="2" t="s">
        <v>27</v>
      </c>
      <c r="C21" s="2">
        <v>0.5</v>
      </c>
      <c r="D21" s="2">
        <f t="shared" si="0"/>
        <v>0.0625</v>
      </c>
    </row>
    <row r="22" spans="1:4">
      <c r="A22" s="8">
        <v>43566</v>
      </c>
      <c r="B22" s="2" t="s">
        <v>27</v>
      </c>
      <c r="C22" s="2">
        <v>0.5</v>
      </c>
      <c r="D22" s="2">
        <f t="shared" si="0"/>
        <v>0.0625</v>
      </c>
    </row>
    <row r="23" spans="1:4">
      <c r="A23" s="8">
        <v>43570</v>
      </c>
      <c r="B23" s="2" t="s">
        <v>29</v>
      </c>
      <c r="C23" s="2">
        <v>0.25</v>
      </c>
      <c r="D23" s="2">
        <f t="shared" si="0"/>
        <v>0.03125</v>
      </c>
    </row>
    <row r="24" spans="1:4">
      <c r="A24" s="8">
        <v>43572</v>
      </c>
      <c r="B24" s="2" t="s">
        <v>29</v>
      </c>
      <c r="C24" s="2">
        <v>0.25</v>
      </c>
      <c r="D24" s="2">
        <f t="shared" si="0"/>
        <v>0.03125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si="0"/>
        <v>0</v>
      </c>
    </row>
    <row r="69" spans="4:4">
      <c r="D69" s="2">
        <f t="shared" ref="D69:D80" si="1">C69/8</f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  <row r="80" spans="4:4">
      <c r="D80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79"/>
  <sheetViews>
    <sheetView workbookViewId="0">
      <selection activeCell="A21" sqref="$A21:$XFD21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6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4">
      <c r="A4" s="8">
        <v>43250</v>
      </c>
      <c r="B4" s="2" t="s">
        <v>27</v>
      </c>
      <c r="C4" s="2">
        <v>84</v>
      </c>
      <c r="D4" s="2">
        <f t="shared" ref="D4:D67" si="0">C4/8</f>
        <v>10.5</v>
      </c>
    </row>
    <row r="5" spans="1:4">
      <c r="A5" s="8">
        <v>43320</v>
      </c>
      <c r="B5" s="2" t="s">
        <v>25</v>
      </c>
      <c r="C5" s="2">
        <v>0.5</v>
      </c>
      <c r="D5" s="2">
        <f t="shared" si="0"/>
        <v>0.0625</v>
      </c>
    </row>
    <row r="6" spans="1:4">
      <c r="A6" s="8">
        <v>43326</v>
      </c>
      <c r="B6" s="2" t="s">
        <v>25</v>
      </c>
      <c r="C6" s="2">
        <v>0.5</v>
      </c>
      <c r="D6" s="2">
        <f t="shared" si="0"/>
        <v>0.0625</v>
      </c>
    </row>
    <row r="7" spans="1:4">
      <c r="A7" s="8">
        <v>43332</v>
      </c>
      <c r="B7" s="2" t="s">
        <v>26</v>
      </c>
      <c r="C7" s="2">
        <v>-15.2</v>
      </c>
      <c r="D7" s="2">
        <f t="shared" si="0"/>
        <v>-1.9</v>
      </c>
    </row>
    <row r="8" spans="1:4">
      <c r="A8" s="8">
        <v>43333</v>
      </c>
      <c r="B8" s="2" t="s">
        <v>25</v>
      </c>
      <c r="C8" s="2">
        <v>0.25</v>
      </c>
      <c r="D8" s="2">
        <f t="shared" si="0"/>
        <v>0.03125</v>
      </c>
    </row>
    <row r="9" spans="1:4">
      <c r="A9" s="8">
        <v>43363</v>
      </c>
      <c r="B9" s="2" t="s">
        <v>27</v>
      </c>
      <c r="C9" s="2">
        <v>2</v>
      </c>
      <c r="D9" s="2">
        <f t="shared" si="0"/>
        <v>0.25</v>
      </c>
    </row>
    <row r="10" spans="1:4">
      <c r="A10" s="8">
        <v>43375</v>
      </c>
      <c r="B10" s="2" t="s">
        <v>28</v>
      </c>
      <c r="C10" s="2">
        <v>0.25</v>
      </c>
      <c r="D10" s="2">
        <f t="shared" si="0"/>
        <v>0.03125</v>
      </c>
    </row>
    <row r="11" spans="1:4">
      <c r="A11" s="8">
        <v>43475</v>
      </c>
      <c r="B11" s="2" t="s">
        <v>28</v>
      </c>
      <c r="C11" s="2">
        <v>0.25</v>
      </c>
      <c r="D11" s="2">
        <f t="shared" si="0"/>
        <v>0.03125</v>
      </c>
    </row>
    <row r="12" spans="1:4">
      <c r="A12" s="8">
        <v>43495</v>
      </c>
      <c r="B12" s="2" t="s">
        <v>28</v>
      </c>
      <c r="C12" s="2">
        <v>0.25</v>
      </c>
      <c r="D12" s="2">
        <f t="shared" si="0"/>
        <v>0.03125</v>
      </c>
    </row>
    <row r="13" spans="1:4">
      <c r="A13" s="8">
        <v>43513</v>
      </c>
      <c r="B13" s="2" t="s">
        <v>27</v>
      </c>
      <c r="C13" s="2">
        <v>0.25</v>
      </c>
      <c r="D13" s="2">
        <f t="shared" si="0"/>
        <v>0.03125</v>
      </c>
    </row>
    <row r="14" spans="1:4">
      <c r="A14" s="8">
        <v>43520</v>
      </c>
      <c r="B14" s="2" t="s">
        <v>29</v>
      </c>
      <c r="C14" s="2">
        <v>0.25</v>
      </c>
      <c r="D14" s="2">
        <f t="shared" si="0"/>
        <v>0.03125</v>
      </c>
    </row>
    <row r="15" spans="1:4">
      <c r="A15" s="8">
        <v>43536</v>
      </c>
      <c r="B15" s="2" t="s">
        <v>29</v>
      </c>
      <c r="C15" s="2">
        <v>0.25</v>
      </c>
      <c r="D15" s="2">
        <f t="shared" si="0"/>
        <v>0.03125</v>
      </c>
    </row>
    <row r="16" spans="1:4">
      <c r="A16" s="8">
        <v>43549</v>
      </c>
      <c r="B16" s="2" t="s">
        <v>29</v>
      </c>
      <c r="C16" s="2">
        <v>0.25</v>
      </c>
      <c r="D16" s="2">
        <f t="shared" si="0"/>
        <v>0.03125</v>
      </c>
    </row>
    <row r="17" spans="1:4">
      <c r="A17" s="8">
        <v>43551</v>
      </c>
      <c r="B17" s="2" t="s">
        <v>29</v>
      </c>
      <c r="C17" s="2">
        <v>0.25</v>
      </c>
      <c r="D17" s="2">
        <f t="shared" si="0"/>
        <v>0.03125</v>
      </c>
    </row>
    <row r="18" spans="1:4">
      <c r="A18" s="8">
        <v>43564</v>
      </c>
      <c r="B18" s="2" t="s">
        <v>27</v>
      </c>
      <c r="C18" s="2">
        <v>0.25</v>
      </c>
      <c r="D18" s="2">
        <f t="shared" ref="D18:D21" si="1">C18/8</f>
        <v>0.03125</v>
      </c>
    </row>
    <row r="19" spans="1:4">
      <c r="A19" s="8">
        <v>43566</v>
      </c>
      <c r="B19" s="2" t="s">
        <v>27</v>
      </c>
      <c r="C19" s="2">
        <v>0.25</v>
      </c>
      <c r="D19" s="2">
        <f t="shared" si="1"/>
        <v>0.03125</v>
      </c>
    </row>
    <row r="20" spans="1:4">
      <c r="A20" s="8">
        <v>43570</v>
      </c>
      <c r="B20" s="2" t="s">
        <v>29</v>
      </c>
      <c r="C20" s="2">
        <v>0.25</v>
      </c>
      <c r="D20" s="2">
        <f t="shared" si="1"/>
        <v>0.03125</v>
      </c>
    </row>
    <row r="21" spans="1:4">
      <c r="A21" s="8">
        <v>43572</v>
      </c>
      <c r="B21" s="2" t="s">
        <v>29</v>
      </c>
      <c r="C21" s="2">
        <v>0.25</v>
      </c>
      <c r="D21" s="2">
        <f t="shared" si="1"/>
        <v>0.03125</v>
      </c>
    </row>
    <row r="22" spans="4:4">
      <c r="D22" s="2">
        <f t="shared" si="0"/>
        <v>0</v>
      </c>
    </row>
    <row r="23" spans="4:4">
      <c r="D23" s="2">
        <f t="shared" si="0"/>
        <v>0</v>
      </c>
    </row>
    <row r="24" spans="4:4">
      <c r="D24" s="2">
        <f t="shared" si="0"/>
        <v>0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ref="D68:D79" si="2">C68/8</f>
        <v>0</v>
      </c>
    </row>
    <row r="69" spans="4:4">
      <c r="D69" s="2">
        <f t="shared" si="2"/>
        <v>0</v>
      </c>
    </row>
    <row r="70" spans="4:4">
      <c r="D70" s="2">
        <f t="shared" si="2"/>
        <v>0</v>
      </c>
    </row>
    <row r="71" spans="4:4">
      <c r="D71" s="2">
        <f t="shared" si="2"/>
        <v>0</v>
      </c>
    </row>
    <row r="72" spans="4:4">
      <c r="D72" s="2">
        <f t="shared" si="2"/>
        <v>0</v>
      </c>
    </row>
    <row r="73" spans="4:4">
      <c r="D73" s="2">
        <f t="shared" si="2"/>
        <v>0</v>
      </c>
    </row>
    <row r="74" spans="4:4">
      <c r="D74" s="2">
        <f t="shared" si="2"/>
        <v>0</v>
      </c>
    </row>
    <row r="75" spans="4:4">
      <c r="D75" s="2">
        <f t="shared" si="2"/>
        <v>0</v>
      </c>
    </row>
    <row r="76" spans="4:4">
      <c r="D76" s="2">
        <f t="shared" si="2"/>
        <v>0</v>
      </c>
    </row>
    <row r="77" spans="4:4">
      <c r="D77" s="2">
        <f t="shared" si="2"/>
        <v>0</v>
      </c>
    </row>
    <row r="78" spans="4:4">
      <c r="D78" s="2">
        <f t="shared" si="2"/>
        <v>0</v>
      </c>
    </row>
    <row r="79" spans="4:4">
      <c r="D79" s="2">
        <f t="shared" si="2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79"/>
  <sheetViews>
    <sheetView workbookViewId="0">
      <selection activeCell="A24" sqref="$A24:$XFD24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7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4">
      <c r="A4" s="8">
        <v>43251</v>
      </c>
      <c r="B4" s="2" t="s">
        <v>27</v>
      </c>
      <c r="C4" s="2">
        <v>78</v>
      </c>
      <c r="D4" s="2">
        <f t="shared" ref="D4:D67" si="0">C4/8</f>
        <v>9.75</v>
      </c>
    </row>
    <row r="5" spans="1:4">
      <c r="A5" s="8">
        <v>43319</v>
      </c>
      <c r="B5" s="2" t="s">
        <v>25</v>
      </c>
      <c r="C5" s="2">
        <v>1</v>
      </c>
      <c r="D5" s="2">
        <f t="shared" si="0"/>
        <v>0.125</v>
      </c>
    </row>
    <row r="6" spans="1:4">
      <c r="A6" s="8">
        <v>43325</v>
      </c>
      <c r="B6" s="2" t="s">
        <v>27</v>
      </c>
      <c r="C6" s="2">
        <v>0.25</v>
      </c>
      <c r="D6" s="2">
        <f t="shared" si="0"/>
        <v>0.03125</v>
      </c>
    </row>
    <row r="7" spans="1:4">
      <c r="A7" s="8">
        <v>43332</v>
      </c>
      <c r="B7" s="2" t="s">
        <v>27</v>
      </c>
      <c r="C7" s="2">
        <v>0.25</v>
      </c>
      <c r="D7" s="2">
        <f t="shared" si="0"/>
        <v>0.03125</v>
      </c>
    </row>
    <row r="8" spans="1:4">
      <c r="A8" s="8">
        <v>43332</v>
      </c>
      <c r="B8" s="2" t="s">
        <v>27</v>
      </c>
      <c r="C8" s="2">
        <v>-15.2</v>
      </c>
      <c r="D8" s="2">
        <f t="shared" si="0"/>
        <v>-1.9</v>
      </c>
    </row>
    <row r="9" spans="1:4">
      <c r="A9" s="8">
        <v>43362</v>
      </c>
      <c r="B9" s="2" t="s">
        <v>27</v>
      </c>
      <c r="C9" s="2">
        <v>0.25</v>
      </c>
      <c r="D9" s="2">
        <f t="shared" si="0"/>
        <v>0.03125</v>
      </c>
    </row>
    <row r="10" spans="1:4">
      <c r="A10" s="8">
        <v>43374</v>
      </c>
      <c r="B10" s="2" t="s">
        <v>28</v>
      </c>
      <c r="C10" s="2">
        <v>0.25</v>
      </c>
      <c r="D10" s="2">
        <f t="shared" si="0"/>
        <v>0.03125</v>
      </c>
    </row>
    <row r="11" spans="1:4">
      <c r="A11" s="8">
        <v>43390</v>
      </c>
      <c r="B11" s="2" t="s">
        <v>28</v>
      </c>
      <c r="C11" s="2">
        <v>0.5</v>
      </c>
      <c r="D11" s="2">
        <f t="shared" si="0"/>
        <v>0.0625</v>
      </c>
    </row>
    <row r="12" spans="1:4">
      <c r="A12" s="8">
        <v>43418</v>
      </c>
      <c r="B12" s="2" t="s">
        <v>28</v>
      </c>
      <c r="C12" s="2">
        <v>0.5</v>
      </c>
      <c r="D12" s="2">
        <f t="shared" si="0"/>
        <v>0.0625</v>
      </c>
    </row>
    <row r="13" spans="1:4">
      <c r="A13" s="8">
        <v>43484</v>
      </c>
      <c r="B13" s="2" t="s">
        <v>28</v>
      </c>
      <c r="C13" s="2">
        <v>0.25</v>
      </c>
      <c r="D13" s="2">
        <f t="shared" si="0"/>
        <v>0.03125</v>
      </c>
    </row>
    <row r="14" spans="1:4">
      <c r="A14" s="8">
        <v>43513</v>
      </c>
      <c r="B14" s="2" t="s">
        <v>27</v>
      </c>
      <c r="C14" s="2">
        <v>0.25</v>
      </c>
      <c r="D14" s="2">
        <f t="shared" si="0"/>
        <v>0.03125</v>
      </c>
    </row>
    <row r="15" spans="1:4">
      <c r="A15" s="8">
        <v>43520</v>
      </c>
      <c r="B15" s="2" t="s">
        <v>29</v>
      </c>
      <c r="C15" s="2">
        <v>0.25</v>
      </c>
      <c r="D15" s="2">
        <f t="shared" si="0"/>
        <v>0.03125</v>
      </c>
    </row>
    <row r="16" spans="1:4">
      <c r="A16" s="8">
        <v>43523</v>
      </c>
      <c r="B16" s="2" t="s">
        <v>29</v>
      </c>
      <c r="C16" s="2">
        <v>0.25</v>
      </c>
      <c r="D16" s="2">
        <f t="shared" si="0"/>
        <v>0.03125</v>
      </c>
    </row>
    <row r="17" spans="1:4">
      <c r="A17" s="8">
        <v>43536</v>
      </c>
      <c r="B17" s="2" t="s">
        <v>29</v>
      </c>
      <c r="C17" s="2">
        <v>0.25</v>
      </c>
      <c r="D17" s="2">
        <f t="shared" si="0"/>
        <v>0.03125</v>
      </c>
    </row>
    <row r="18" spans="1:4">
      <c r="A18" s="8">
        <v>43549</v>
      </c>
      <c r="B18" s="2" t="s">
        <v>29</v>
      </c>
      <c r="C18" s="2">
        <v>0.25</v>
      </c>
      <c r="D18" s="2">
        <f t="shared" si="0"/>
        <v>0.03125</v>
      </c>
    </row>
    <row r="19" spans="1:4">
      <c r="A19" s="8">
        <v>43550</v>
      </c>
      <c r="B19" s="2" t="s">
        <v>29</v>
      </c>
      <c r="C19" s="2">
        <v>0.25</v>
      </c>
      <c r="D19" s="2">
        <f t="shared" ref="D19" si="1">C19/8</f>
        <v>0.03125</v>
      </c>
    </row>
    <row r="20" spans="1:4">
      <c r="A20" s="8">
        <v>43551</v>
      </c>
      <c r="B20" s="2" t="s">
        <v>29</v>
      </c>
      <c r="C20" s="2">
        <v>0.25</v>
      </c>
      <c r="D20" s="2">
        <f t="shared" si="0"/>
        <v>0.03125</v>
      </c>
    </row>
    <row r="21" spans="1:4">
      <c r="A21" s="8">
        <v>43558</v>
      </c>
      <c r="B21" s="2" t="s">
        <v>29</v>
      </c>
      <c r="C21" s="2">
        <v>0.25</v>
      </c>
      <c r="D21" s="2">
        <f t="shared" si="0"/>
        <v>0.03125</v>
      </c>
    </row>
    <row r="22" spans="1:4">
      <c r="A22" s="8">
        <v>43564</v>
      </c>
      <c r="B22" s="2" t="s">
        <v>27</v>
      </c>
      <c r="C22" s="2">
        <v>0.25</v>
      </c>
      <c r="D22" s="2">
        <f t="shared" si="0"/>
        <v>0.03125</v>
      </c>
    </row>
    <row r="23" spans="1:4">
      <c r="A23" s="8">
        <v>43566</v>
      </c>
      <c r="B23" s="2" t="s">
        <v>27</v>
      </c>
      <c r="C23" s="2">
        <v>0.25</v>
      </c>
      <c r="D23" s="2">
        <f t="shared" si="0"/>
        <v>0.03125</v>
      </c>
    </row>
    <row r="24" spans="1:4">
      <c r="A24" s="8">
        <v>43570</v>
      </c>
      <c r="B24" s="2" t="s">
        <v>29</v>
      </c>
      <c r="C24" s="2">
        <v>0.25</v>
      </c>
      <c r="D24" s="2">
        <f t="shared" si="0"/>
        <v>0.03125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ref="D68:D79" si="2">C68/8</f>
        <v>0</v>
      </c>
    </row>
    <row r="69" spans="4:4">
      <c r="D69" s="2">
        <f t="shared" si="2"/>
        <v>0</v>
      </c>
    </row>
    <row r="70" spans="4:4">
      <c r="D70" s="2">
        <f t="shared" si="2"/>
        <v>0</v>
      </c>
    </row>
    <row r="71" spans="4:4">
      <c r="D71" s="2">
        <f t="shared" si="2"/>
        <v>0</v>
      </c>
    </row>
    <row r="72" spans="4:4">
      <c r="D72" s="2">
        <f t="shared" si="2"/>
        <v>0</v>
      </c>
    </row>
    <row r="73" spans="4:4">
      <c r="D73" s="2">
        <f t="shared" si="2"/>
        <v>0</v>
      </c>
    </row>
    <row r="74" spans="4:4">
      <c r="D74" s="2">
        <f t="shared" si="2"/>
        <v>0</v>
      </c>
    </row>
    <row r="75" spans="4:4">
      <c r="D75" s="2">
        <f t="shared" si="2"/>
        <v>0</v>
      </c>
    </row>
    <row r="76" spans="4:4">
      <c r="D76" s="2">
        <f t="shared" si="2"/>
        <v>0</v>
      </c>
    </row>
    <row r="77" spans="4:4">
      <c r="D77" s="2">
        <f t="shared" si="2"/>
        <v>0</v>
      </c>
    </row>
    <row r="78" spans="4:4">
      <c r="D78" s="2">
        <f t="shared" si="2"/>
        <v>0</v>
      </c>
    </row>
    <row r="79" spans="4:4">
      <c r="D79" s="2">
        <f t="shared" si="2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79"/>
  <sheetViews>
    <sheetView workbookViewId="0">
      <selection activeCell="A21" sqref="$A21:$XFD21"/>
    </sheetView>
  </sheetViews>
  <sheetFormatPr defaultColWidth="9" defaultRowHeight="14.25"/>
  <cols>
    <col min="1" max="1" width="10.7083333333333" customWidth="true"/>
    <col min="2" max="3" width="10.7083333333333" style="2" customWidth="true"/>
    <col min="4" max="4" width="15" style="2" customWidth="true"/>
    <col min="5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8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4">
      <c r="A4" s="8">
        <v>43250</v>
      </c>
      <c r="B4" s="2" t="s">
        <v>27</v>
      </c>
      <c r="C4" s="2">
        <v>68</v>
      </c>
      <c r="D4" s="2">
        <f t="shared" ref="D4:D67" si="0">C4/8</f>
        <v>8.5</v>
      </c>
    </row>
    <row r="5" spans="1:4">
      <c r="A5" s="8">
        <v>43318</v>
      </c>
      <c r="B5" s="2" t="s">
        <v>27</v>
      </c>
      <c r="C5" s="2">
        <v>2</v>
      </c>
      <c r="D5" s="2">
        <v>0.25</v>
      </c>
    </row>
    <row r="6" spans="1:4">
      <c r="A6" s="8">
        <v>43325</v>
      </c>
      <c r="B6" s="2" t="s">
        <v>27</v>
      </c>
      <c r="C6" s="2">
        <v>2</v>
      </c>
      <c r="D6" s="2">
        <f t="shared" si="0"/>
        <v>0.25</v>
      </c>
    </row>
    <row r="7" spans="1:4">
      <c r="A7" s="8">
        <v>43332</v>
      </c>
      <c r="B7" s="2" t="s">
        <v>27</v>
      </c>
      <c r="C7" s="2">
        <v>0.5</v>
      </c>
      <c r="D7" s="2">
        <f t="shared" si="0"/>
        <v>0.0625</v>
      </c>
    </row>
    <row r="8" spans="1:4">
      <c r="A8" s="8">
        <v>43332</v>
      </c>
      <c r="B8" s="2" t="s">
        <v>26</v>
      </c>
      <c r="C8" s="2">
        <v>-15.2</v>
      </c>
      <c r="D8" s="2">
        <f t="shared" si="0"/>
        <v>-1.9</v>
      </c>
    </row>
    <row r="9" spans="1:4">
      <c r="A9" s="8">
        <v>43362</v>
      </c>
      <c r="B9" s="2" t="s">
        <v>27</v>
      </c>
      <c r="C9" s="2">
        <v>1</v>
      </c>
      <c r="D9" s="2">
        <f t="shared" si="0"/>
        <v>0.125</v>
      </c>
    </row>
    <row r="10" spans="1:4">
      <c r="A10" s="8">
        <v>43389</v>
      </c>
      <c r="B10" s="2" t="s">
        <v>28</v>
      </c>
      <c r="C10" s="2">
        <v>0.5</v>
      </c>
      <c r="D10" s="2">
        <f t="shared" si="0"/>
        <v>0.0625</v>
      </c>
    </row>
    <row r="11" spans="1:4">
      <c r="A11" s="8">
        <v>43513</v>
      </c>
      <c r="B11" s="2" t="s">
        <v>27</v>
      </c>
      <c r="C11" s="2">
        <v>0.5</v>
      </c>
      <c r="D11" s="2">
        <f t="shared" si="0"/>
        <v>0.0625</v>
      </c>
    </row>
    <row r="12" spans="1:4">
      <c r="A12" s="8">
        <v>43516</v>
      </c>
      <c r="B12" s="2" t="s">
        <v>27</v>
      </c>
      <c r="C12" s="2">
        <v>0.25</v>
      </c>
      <c r="D12" s="2">
        <f t="shared" si="0"/>
        <v>0.03125</v>
      </c>
    </row>
    <row r="13" spans="1:4">
      <c r="A13" s="8">
        <v>43520</v>
      </c>
      <c r="B13" s="2" t="s">
        <v>29</v>
      </c>
      <c r="C13" s="2">
        <v>0.25</v>
      </c>
      <c r="D13" s="2">
        <f t="shared" si="0"/>
        <v>0.03125</v>
      </c>
    </row>
    <row r="14" spans="1:4">
      <c r="A14" s="8">
        <v>43536</v>
      </c>
      <c r="B14" s="2" t="s">
        <v>29</v>
      </c>
      <c r="C14" s="2">
        <v>0.25</v>
      </c>
      <c r="D14" s="2">
        <f t="shared" si="0"/>
        <v>0.03125</v>
      </c>
    </row>
    <row r="15" spans="1:4">
      <c r="A15" s="8">
        <v>43549</v>
      </c>
      <c r="B15" s="2" t="s">
        <v>29</v>
      </c>
      <c r="C15" s="2">
        <v>0.5</v>
      </c>
      <c r="D15" s="2">
        <f t="shared" si="0"/>
        <v>0.0625</v>
      </c>
    </row>
    <row r="16" spans="1:4">
      <c r="A16" s="8">
        <v>43550</v>
      </c>
      <c r="B16" s="2" t="s">
        <v>29</v>
      </c>
      <c r="C16" s="2">
        <v>0.5</v>
      </c>
      <c r="D16" s="2">
        <f t="shared" si="0"/>
        <v>0.0625</v>
      </c>
    </row>
    <row r="17" spans="1:4">
      <c r="A17" s="8">
        <v>43551</v>
      </c>
      <c r="B17" s="2" t="s">
        <v>29</v>
      </c>
      <c r="C17" s="2">
        <v>0.5</v>
      </c>
      <c r="D17" s="2">
        <f t="shared" si="0"/>
        <v>0.0625</v>
      </c>
    </row>
    <row r="18" spans="1:4">
      <c r="A18" s="8">
        <v>43558</v>
      </c>
      <c r="B18" s="2" t="s">
        <v>29</v>
      </c>
      <c r="C18" s="2">
        <v>0.5</v>
      </c>
      <c r="D18" s="2">
        <f t="shared" si="0"/>
        <v>0.0625</v>
      </c>
    </row>
    <row r="19" spans="1:4">
      <c r="A19" s="8">
        <v>43564</v>
      </c>
      <c r="B19" s="2" t="s">
        <v>27</v>
      </c>
      <c r="C19" s="2">
        <v>0.25</v>
      </c>
      <c r="D19" s="2">
        <f t="shared" si="0"/>
        <v>0.03125</v>
      </c>
    </row>
    <row r="20" spans="1:4">
      <c r="A20" s="8">
        <v>43566</v>
      </c>
      <c r="B20" s="2" t="s">
        <v>27</v>
      </c>
      <c r="C20" s="2">
        <v>0.5</v>
      </c>
      <c r="D20" s="2">
        <f t="shared" si="0"/>
        <v>0.0625</v>
      </c>
    </row>
    <row r="21" spans="1:4">
      <c r="A21" s="8">
        <v>43570</v>
      </c>
      <c r="B21" s="2" t="s">
        <v>29</v>
      </c>
      <c r="C21" s="2">
        <v>0.5</v>
      </c>
      <c r="D21" s="2">
        <f t="shared" si="0"/>
        <v>0.0625</v>
      </c>
    </row>
    <row r="22" spans="4:4">
      <c r="D22" s="2">
        <f t="shared" si="0"/>
        <v>0</v>
      </c>
    </row>
    <row r="23" spans="4:4">
      <c r="D23" s="2">
        <f t="shared" si="0"/>
        <v>0</v>
      </c>
    </row>
    <row r="24" spans="4:4">
      <c r="D24" s="2">
        <f t="shared" si="0"/>
        <v>0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ref="D68:D79" si="1">C68/8</f>
        <v>0</v>
      </c>
    </row>
    <row r="69" spans="4:4">
      <c r="D69" s="2">
        <f t="shared" si="1"/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79"/>
  <sheetViews>
    <sheetView workbookViewId="0">
      <selection activeCell="A25" sqref="$A25:$XFD25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9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4">
      <c r="A4" s="8">
        <v>43250</v>
      </c>
      <c r="B4" s="2" t="s">
        <v>27</v>
      </c>
      <c r="C4" s="2">
        <v>60</v>
      </c>
      <c r="D4" s="2">
        <f t="shared" ref="D4:D67" si="0">C4/8</f>
        <v>7.5</v>
      </c>
    </row>
    <row r="5" spans="1:9">
      <c r="A5" s="8">
        <v>43311</v>
      </c>
      <c r="B5" s="2" t="s">
        <v>27</v>
      </c>
      <c r="C5" s="2">
        <v>24</v>
      </c>
      <c r="D5" s="2">
        <f t="shared" si="0"/>
        <v>3</v>
      </c>
      <c r="I5" s="2" t="s">
        <v>30</v>
      </c>
    </row>
    <row r="6" spans="1:4">
      <c r="A6" s="8">
        <v>43326</v>
      </c>
      <c r="B6" s="2" t="s">
        <v>25</v>
      </c>
      <c r="C6" s="2">
        <v>1</v>
      </c>
      <c r="D6" s="2">
        <f t="shared" si="0"/>
        <v>0.125</v>
      </c>
    </row>
    <row r="7" spans="1:4">
      <c r="A7" s="8">
        <v>43332</v>
      </c>
      <c r="B7" s="2" t="s">
        <v>27</v>
      </c>
      <c r="C7" s="2">
        <v>0.25</v>
      </c>
      <c r="D7" s="2">
        <f t="shared" si="0"/>
        <v>0.03125</v>
      </c>
    </row>
    <row r="8" spans="1:4">
      <c r="A8" s="8">
        <v>43332</v>
      </c>
      <c r="B8" s="2" t="s">
        <v>26</v>
      </c>
      <c r="C8" s="2">
        <v>-15.2</v>
      </c>
      <c r="D8" s="2">
        <f t="shared" si="0"/>
        <v>-1.9</v>
      </c>
    </row>
    <row r="9" spans="1:4">
      <c r="A9" s="8">
        <v>43363</v>
      </c>
      <c r="B9" s="2" t="s">
        <v>27</v>
      </c>
      <c r="C9" s="2">
        <v>1</v>
      </c>
      <c r="D9" s="2">
        <f t="shared" si="0"/>
        <v>0.125</v>
      </c>
    </row>
    <row r="10" spans="1:4">
      <c r="A10" s="8">
        <v>43375</v>
      </c>
      <c r="B10" s="2" t="s">
        <v>28</v>
      </c>
      <c r="C10" s="2">
        <v>0.25</v>
      </c>
      <c r="D10" s="2">
        <f t="shared" si="0"/>
        <v>0.03125</v>
      </c>
    </row>
    <row r="11" spans="1:4">
      <c r="A11" s="8">
        <v>43391</v>
      </c>
      <c r="B11" s="2" t="s">
        <v>28</v>
      </c>
      <c r="C11" s="2">
        <v>0.5</v>
      </c>
      <c r="D11" s="2">
        <f t="shared" si="0"/>
        <v>0.0625</v>
      </c>
    </row>
    <row r="12" spans="1:4">
      <c r="A12" s="8">
        <v>43418</v>
      </c>
      <c r="B12" s="2" t="s">
        <v>28</v>
      </c>
      <c r="C12" s="2">
        <v>0.25</v>
      </c>
      <c r="D12" s="2">
        <f t="shared" si="0"/>
        <v>0.03125</v>
      </c>
    </row>
    <row r="13" spans="1:4">
      <c r="A13" s="8">
        <v>43475</v>
      </c>
      <c r="B13" s="2" t="s">
        <v>28</v>
      </c>
      <c r="C13" s="2">
        <v>0.25</v>
      </c>
      <c r="D13" s="2">
        <f t="shared" si="0"/>
        <v>0.03125</v>
      </c>
    </row>
    <row r="14" spans="1:4">
      <c r="A14" s="8">
        <v>43513</v>
      </c>
      <c r="B14" s="2" t="s">
        <v>27</v>
      </c>
      <c r="C14" s="2">
        <v>0.5</v>
      </c>
      <c r="D14" s="2">
        <f t="shared" si="0"/>
        <v>0.0625</v>
      </c>
    </row>
    <row r="15" spans="1:4">
      <c r="A15" s="8">
        <v>43520</v>
      </c>
      <c r="B15" s="2" t="s">
        <v>29</v>
      </c>
      <c r="C15" s="2">
        <v>0.25</v>
      </c>
      <c r="D15" s="2">
        <f t="shared" si="0"/>
        <v>0.03125</v>
      </c>
    </row>
    <row r="16" spans="1:4">
      <c r="A16" s="8">
        <v>43523</v>
      </c>
      <c r="B16" s="2" t="s">
        <v>29</v>
      </c>
      <c r="C16" s="2">
        <v>0.25</v>
      </c>
      <c r="D16" s="2">
        <f t="shared" si="0"/>
        <v>0.03125</v>
      </c>
    </row>
    <row r="17" spans="1:4">
      <c r="A17" s="8">
        <v>43536</v>
      </c>
      <c r="B17" s="2" t="s">
        <v>29</v>
      </c>
      <c r="C17" s="2">
        <v>0.25</v>
      </c>
      <c r="D17" s="2">
        <f t="shared" si="0"/>
        <v>0.03125</v>
      </c>
    </row>
    <row r="18" spans="1:4">
      <c r="A18" s="8">
        <v>43549</v>
      </c>
      <c r="B18" s="2" t="s">
        <v>29</v>
      </c>
      <c r="C18" s="2">
        <v>0.5</v>
      </c>
      <c r="D18" s="2">
        <f t="shared" si="0"/>
        <v>0.0625</v>
      </c>
    </row>
    <row r="19" spans="1:4">
      <c r="A19" s="8">
        <v>43550</v>
      </c>
      <c r="B19" s="2" t="s">
        <v>29</v>
      </c>
      <c r="C19" s="2">
        <v>0.5</v>
      </c>
      <c r="D19" s="2">
        <f t="shared" si="0"/>
        <v>0.0625</v>
      </c>
    </row>
    <row r="20" spans="1:4">
      <c r="A20" s="8">
        <v>43551</v>
      </c>
      <c r="B20" s="2" t="s">
        <v>29</v>
      </c>
      <c r="C20" s="2">
        <v>0.25</v>
      </c>
      <c r="D20" s="2">
        <f t="shared" si="0"/>
        <v>0.03125</v>
      </c>
    </row>
    <row r="21" spans="1:4">
      <c r="A21" s="8">
        <v>43558</v>
      </c>
      <c r="B21" s="2" t="s">
        <v>29</v>
      </c>
      <c r="C21" s="2">
        <v>0.5</v>
      </c>
      <c r="D21" s="2">
        <f t="shared" si="0"/>
        <v>0.0625</v>
      </c>
    </row>
    <row r="22" spans="1:4">
      <c r="A22" s="8">
        <v>43564</v>
      </c>
      <c r="B22" s="2" t="s">
        <v>27</v>
      </c>
      <c r="C22" s="2">
        <v>0.25</v>
      </c>
      <c r="D22" s="2">
        <f t="shared" si="0"/>
        <v>0.03125</v>
      </c>
    </row>
    <row r="23" spans="1:4">
      <c r="A23" s="8">
        <v>43566</v>
      </c>
      <c r="B23" s="2" t="s">
        <v>27</v>
      </c>
      <c r="C23" s="2">
        <v>0.25</v>
      </c>
      <c r="D23" s="2">
        <f t="shared" si="0"/>
        <v>0.03125</v>
      </c>
    </row>
    <row r="24" spans="1:4">
      <c r="A24" s="8">
        <v>43570</v>
      </c>
      <c r="B24" s="2" t="s">
        <v>29</v>
      </c>
      <c r="C24" s="2">
        <v>0.5</v>
      </c>
      <c r="D24" s="2">
        <f t="shared" si="0"/>
        <v>0.0625</v>
      </c>
    </row>
    <row r="25" spans="1:4">
      <c r="A25" s="8">
        <v>43572</v>
      </c>
      <c r="B25" s="2" t="s">
        <v>29</v>
      </c>
      <c r="C25" s="2">
        <v>0.5</v>
      </c>
      <c r="D25" s="2">
        <f t="shared" si="0"/>
        <v>0.0625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ref="D68:D79" si="1">C68/8</f>
        <v>0</v>
      </c>
    </row>
    <row r="69" spans="4:4">
      <c r="D69" s="2">
        <f t="shared" si="1"/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79"/>
  <sheetViews>
    <sheetView workbookViewId="0">
      <selection activeCell="A16" sqref="$A16:$XFD16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10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4">
      <c r="A4" s="8">
        <v>43250</v>
      </c>
      <c r="B4" s="2" t="s">
        <v>27</v>
      </c>
      <c r="C4" s="2">
        <v>72</v>
      </c>
      <c r="D4" s="2">
        <f t="shared" ref="D4:D67" si="0">C4/8</f>
        <v>9</v>
      </c>
    </row>
    <row r="5" spans="1:4">
      <c r="A5" s="8">
        <v>43325</v>
      </c>
      <c r="B5" s="2" t="s">
        <v>27</v>
      </c>
      <c r="C5" s="2">
        <v>2</v>
      </c>
      <c r="D5" s="2">
        <f t="shared" si="0"/>
        <v>0.25</v>
      </c>
    </row>
    <row r="6" spans="1:4">
      <c r="A6" s="8">
        <v>43332</v>
      </c>
      <c r="B6" s="2" t="s">
        <v>27</v>
      </c>
      <c r="C6" s="2">
        <v>0.25</v>
      </c>
      <c r="D6" s="2">
        <f t="shared" si="0"/>
        <v>0.03125</v>
      </c>
    </row>
    <row r="7" spans="1:4">
      <c r="A7" s="8">
        <v>43332</v>
      </c>
      <c r="B7" s="2" t="s">
        <v>26</v>
      </c>
      <c r="C7" s="2">
        <v>-15.2</v>
      </c>
      <c r="D7" s="2">
        <f t="shared" si="0"/>
        <v>-1.9</v>
      </c>
    </row>
    <row r="8" spans="1:4">
      <c r="A8" s="8">
        <v>43362</v>
      </c>
      <c r="B8" s="2" t="s">
        <v>27</v>
      </c>
      <c r="C8" s="2">
        <v>0.5</v>
      </c>
      <c r="D8" s="2">
        <f t="shared" si="0"/>
        <v>0.0625</v>
      </c>
    </row>
    <row r="9" spans="1:4">
      <c r="A9" s="8">
        <v>43374</v>
      </c>
      <c r="B9" s="2" t="s">
        <v>28</v>
      </c>
      <c r="C9" s="2">
        <v>0.5</v>
      </c>
      <c r="D9" s="2">
        <f t="shared" si="0"/>
        <v>0.0625</v>
      </c>
    </row>
    <row r="10" spans="1:4">
      <c r="A10" s="8">
        <v>43390</v>
      </c>
      <c r="B10" s="2" t="s">
        <v>28</v>
      </c>
      <c r="C10" s="2">
        <v>0.5</v>
      </c>
      <c r="D10" s="2">
        <f t="shared" si="0"/>
        <v>0.0625</v>
      </c>
    </row>
    <row r="11" spans="1:4">
      <c r="A11" s="8">
        <v>43513</v>
      </c>
      <c r="B11" s="2" t="s">
        <v>27</v>
      </c>
      <c r="C11" s="2">
        <v>0.5</v>
      </c>
      <c r="D11" s="2">
        <f t="shared" si="0"/>
        <v>0.0625</v>
      </c>
    </row>
    <row r="12" spans="1:4">
      <c r="A12" s="8">
        <v>43516</v>
      </c>
      <c r="B12" s="2" t="s">
        <v>27</v>
      </c>
      <c r="C12" s="2">
        <v>0.25</v>
      </c>
      <c r="D12" s="2">
        <f t="shared" si="0"/>
        <v>0.03125</v>
      </c>
    </row>
    <row r="13" spans="1:4">
      <c r="A13" s="8">
        <v>43564</v>
      </c>
      <c r="B13" s="2" t="s">
        <v>27</v>
      </c>
      <c r="C13" s="2">
        <v>0.25</v>
      </c>
      <c r="D13" s="2">
        <f t="shared" si="0"/>
        <v>0.03125</v>
      </c>
    </row>
    <row r="14" spans="1:4">
      <c r="A14" s="8">
        <v>43566</v>
      </c>
      <c r="B14" s="2" t="s">
        <v>27</v>
      </c>
      <c r="C14" s="2">
        <v>0.25</v>
      </c>
      <c r="D14" s="2">
        <f t="shared" si="0"/>
        <v>0.03125</v>
      </c>
    </row>
    <row r="15" spans="1:4">
      <c r="A15" s="8">
        <v>43570</v>
      </c>
      <c r="B15" s="2" t="s">
        <v>29</v>
      </c>
      <c r="C15" s="2">
        <v>0.25</v>
      </c>
      <c r="D15" s="2">
        <f t="shared" si="0"/>
        <v>0.03125</v>
      </c>
    </row>
    <row r="16" spans="1:4">
      <c r="A16" s="8">
        <v>43572</v>
      </c>
      <c r="B16" s="2" t="s">
        <v>29</v>
      </c>
      <c r="C16" s="2">
        <v>0.25</v>
      </c>
      <c r="D16" s="2">
        <f t="shared" si="0"/>
        <v>0.03125</v>
      </c>
    </row>
    <row r="17" spans="1:4">
      <c r="A17" s="8"/>
      <c r="D17" s="2">
        <f t="shared" si="0"/>
        <v>0</v>
      </c>
    </row>
    <row r="18" spans="4:4">
      <c r="D18" s="2">
        <f t="shared" si="0"/>
        <v>0</v>
      </c>
    </row>
    <row r="19" spans="4:4">
      <c r="D19" s="2">
        <f t="shared" si="0"/>
        <v>0</v>
      </c>
    </row>
    <row r="20" spans="4:4">
      <c r="D20" s="2">
        <f t="shared" si="0"/>
        <v>0</v>
      </c>
    </row>
    <row r="21" spans="4:4">
      <c r="D21" s="2">
        <f t="shared" si="0"/>
        <v>0</v>
      </c>
    </row>
    <row r="22" spans="4:4">
      <c r="D22" s="2">
        <f t="shared" si="0"/>
        <v>0</v>
      </c>
    </row>
    <row r="23" spans="4:4">
      <c r="D23" s="2">
        <f t="shared" si="0"/>
        <v>0</v>
      </c>
    </row>
    <row r="24" spans="4:4">
      <c r="D24" s="2">
        <f t="shared" si="0"/>
        <v>0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ref="D68:D79" si="1">C68/8</f>
        <v>0</v>
      </c>
    </row>
    <row r="69" spans="4:4">
      <c r="D69" s="2">
        <f t="shared" si="1"/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79"/>
  <sheetViews>
    <sheetView workbookViewId="0">
      <selection activeCell="A20" sqref="$A20:$XFD20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11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4">
      <c r="A4" s="8">
        <v>43250</v>
      </c>
      <c r="B4" s="2" t="s">
        <v>27</v>
      </c>
      <c r="C4" s="2">
        <v>64</v>
      </c>
      <c r="D4" s="2">
        <f t="shared" ref="D4:D67" si="0">C4/8</f>
        <v>8</v>
      </c>
    </row>
    <row r="5" spans="1:4">
      <c r="A5" s="8">
        <v>43332</v>
      </c>
      <c r="B5" s="2" t="s">
        <v>26</v>
      </c>
      <c r="C5" s="2">
        <v>-15.2</v>
      </c>
      <c r="D5" s="2">
        <v>0</v>
      </c>
    </row>
    <row r="6" spans="1:4">
      <c r="A6" s="8">
        <v>43362</v>
      </c>
      <c r="B6" s="2" t="s">
        <v>27</v>
      </c>
      <c r="C6" s="2">
        <v>0.5</v>
      </c>
      <c r="D6" s="2">
        <f t="shared" si="0"/>
        <v>0.0625</v>
      </c>
    </row>
    <row r="7" spans="1:4">
      <c r="A7" s="8">
        <v>43488</v>
      </c>
      <c r="B7" s="2" t="s">
        <v>28</v>
      </c>
      <c r="C7" s="2">
        <v>0.25</v>
      </c>
      <c r="D7" s="2">
        <f t="shared" si="0"/>
        <v>0.03125</v>
      </c>
    </row>
    <row r="8" spans="1:4">
      <c r="A8" s="8">
        <v>43513</v>
      </c>
      <c r="B8" s="2" t="s">
        <v>27</v>
      </c>
      <c r="C8" s="2">
        <v>0.25</v>
      </c>
      <c r="D8" s="2">
        <f t="shared" si="0"/>
        <v>0.03125</v>
      </c>
    </row>
    <row r="9" spans="1:4">
      <c r="A9" s="8">
        <v>43516</v>
      </c>
      <c r="B9" s="2" t="s">
        <v>27</v>
      </c>
      <c r="C9" s="2">
        <v>0.25</v>
      </c>
      <c r="D9" s="2">
        <f t="shared" si="0"/>
        <v>0.03125</v>
      </c>
    </row>
    <row r="10" spans="1:4">
      <c r="A10" s="8">
        <v>43520</v>
      </c>
      <c r="B10" s="2" t="s">
        <v>29</v>
      </c>
      <c r="C10" s="2">
        <v>0.25</v>
      </c>
      <c r="D10" s="2">
        <f t="shared" si="0"/>
        <v>0.03125</v>
      </c>
    </row>
    <row r="11" spans="1:4">
      <c r="A11" s="8">
        <v>43523</v>
      </c>
      <c r="B11" s="2" t="s">
        <v>29</v>
      </c>
      <c r="C11" s="2">
        <v>0.25</v>
      </c>
      <c r="D11" s="2">
        <f t="shared" si="0"/>
        <v>0.03125</v>
      </c>
    </row>
    <row r="12" spans="1:4">
      <c r="A12" s="8">
        <v>43536</v>
      </c>
      <c r="B12" s="2" t="s">
        <v>29</v>
      </c>
      <c r="C12" s="2">
        <v>0.25</v>
      </c>
      <c r="D12" s="2">
        <f t="shared" si="0"/>
        <v>0.03125</v>
      </c>
    </row>
    <row r="13" spans="1:4">
      <c r="A13" s="8">
        <v>43549</v>
      </c>
      <c r="B13" s="2" t="s">
        <v>29</v>
      </c>
      <c r="C13" s="2">
        <v>0.25</v>
      </c>
      <c r="D13" s="2">
        <f t="shared" si="0"/>
        <v>0.03125</v>
      </c>
    </row>
    <row r="14" spans="1:4">
      <c r="A14" s="8">
        <v>43550</v>
      </c>
      <c r="B14" s="2" t="s">
        <v>29</v>
      </c>
      <c r="C14" s="2">
        <v>0.25</v>
      </c>
      <c r="D14" s="2">
        <f t="shared" si="0"/>
        <v>0.03125</v>
      </c>
    </row>
    <row r="15" spans="1:4">
      <c r="A15" s="8">
        <v>43551</v>
      </c>
      <c r="B15" s="2" t="s">
        <v>29</v>
      </c>
      <c r="C15" s="2">
        <v>0.25</v>
      </c>
      <c r="D15" s="2">
        <f t="shared" si="0"/>
        <v>0.03125</v>
      </c>
    </row>
    <row r="16" spans="1:4">
      <c r="A16" s="8">
        <v>43558</v>
      </c>
      <c r="B16" s="2" t="s">
        <v>29</v>
      </c>
      <c r="C16" s="2">
        <v>0.25</v>
      </c>
      <c r="D16" s="2">
        <f t="shared" si="0"/>
        <v>0.03125</v>
      </c>
    </row>
    <row r="17" spans="1:4">
      <c r="A17" s="8">
        <v>43564</v>
      </c>
      <c r="B17" s="2" t="s">
        <v>27</v>
      </c>
      <c r="C17" s="2">
        <v>0.5</v>
      </c>
      <c r="D17" s="2">
        <f t="shared" si="0"/>
        <v>0.0625</v>
      </c>
    </row>
    <row r="18" spans="1:4">
      <c r="A18" s="8">
        <v>43566</v>
      </c>
      <c r="B18" s="2" t="s">
        <v>27</v>
      </c>
      <c r="C18" s="2">
        <v>0.5</v>
      </c>
      <c r="D18" s="2">
        <f t="shared" si="0"/>
        <v>0.0625</v>
      </c>
    </row>
    <row r="19" spans="1:4">
      <c r="A19" s="8">
        <v>43570</v>
      </c>
      <c r="B19" s="2" t="s">
        <v>29</v>
      </c>
      <c r="C19" s="2">
        <v>0.25</v>
      </c>
      <c r="D19" s="2">
        <f t="shared" si="0"/>
        <v>0.03125</v>
      </c>
    </row>
    <row r="20" spans="1:4">
      <c r="A20" s="8">
        <v>43572</v>
      </c>
      <c r="B20" s="2" t="s">
        <v>29</v>
      </c>
      <c r="C20" s="2">
        <v>0.25</v>
      </c>
      <c r="D20" s="2">
        <f t="shared" si="0"/>
        <v>0.03125</v>
      </c>
    </row>
    <row r="21" spans="4:4">
      <c r="D21" s="2">
        <f t="shared" si="0"/>
        <v>0</v>
      </c>
    </row>
    <row r="22" spans="4:4">
      <c r="D22" s="2">
        <f t="shared" si="0"/>
        <v>0</v>
      </c>
    </row>
    <row r="23" spans="4:4">
      <c r="D23" s="2">
        <f t="shared" si="0"/>
        <v>0</v>
      </c>
    </row>
    <row r="24" spans="4:4">
      <c r="D24" s="2">
        <f t="shared" si="0"/>
        <v>0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ref="D68:D79" si="1">C68/8</f>
        <v>0</v>
      </c>
    </row>
    <row r="69" spans="4:4">
      <c r="D69" s="2">
        <f t="shared" si="1"/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79"/>
  <sheetViews>
    <sheetView workbookViewId="0">
      <selection activeCell="A25" sqref="$A25:$XFD25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12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4">
      <c r="A4" s="8">
        <v>43250</v>
      </c>
      <c r="B4" s="2" t="s">
        <v>27</v>
      </c>
      <c r="C4" s="2">
        <v>60</v>
      </c>
      <c r="D4" s="2">
        <f t="shared" ref="D4:D67" si="0">C4/8</f>
        <v>7.5</v>
      </c>
    </row>
    <row r="5" spans="1:9">
      <c r="A5" s="8">
        <v>43306</v>
      </c>
      <c r="B5" s="2" t="s">
        <v>25</v>
      </c>
      <c r="C5" s="2">
        <v>-20</v>
      </c>
      <c r="D5" s="2">
        <f t="shared" si="0"/>
        <v>-2.5</v>
      </c>
      <c r="I5" s="2" t="s">
        <v>31</v>
      </c>
    </row>
    <row r="6" spans="1:9">
      <c r="A6" s="8">
        <v>43308</v>
      </c>
      <c r="B6" s="2" t="s">
        <v>25</v>
      </c>
      <c r="C6" s="2">
        <v>40</v>
      </c>
      <c r="D6" s="2">
        <f t="shared" si="0"/>
        <v>5</v>
      </c>
      <c r="I6" s="2" t="s">
        <v>32</v>
      </c>
    </row>
    <row r="7" spans="1:4">
      <c r="A7" s="8">
        <v>43320</v>
      </c>
      <c r="B7" s="2" t="s">
        <v>25</v>
      </c>
      <c r="C7" s="2">
        <v>40</v>
      </c>
      <c r="D7" s="2">
        <f t="shared" si="0"/>
        <v>5</v>
      </c>
    </row>
    <row r="8" spans="1:4">
      <c r="A8" s="8">
        <v>43326</v>
      </c>
      <c r="B8" s="2" t="s">
        <v>25</v>
      </c>
      <c r="C8" s="2">
        <v>2</v>
      </c>
      <c r="D8" s="2">
        <f t="shared" si="0"/>
        <v>0.25</v>
      </c>
    </row>
    <row r="9" spans="1:4">
      <c r="A9" s="8">
        <v>43332</v>
      </c>
      <c r="B9" s="2" t="s">
        <v>26</v>
      </c>
      <c r="C9" s="2">
        <v>-15.2</v>
      </c>
      <c r="D9" s="2">
        <f t="shared" si="0"/>
        <v>-1.9</v>
      </c>
    </row>
    <row r="10" spans="1:4">
      <c r="A10" s="8">
        <v>43333</v>
      </c>
      <c r="B10" s="2" t="s">
        <v>25</v>
      </c>
      <c r="C10" s="2">
        <v>0.25</v>
      </c>
      <c r="D10" s="2">
        <f t="shared" si="0"/>
        <v>0.03125</v>
      </c>
    </row>
    <row r="11" spans="1:4">
      <c r="A11" s="8">
        <v>43363</v>
      </c>
      <c r="B11" s="2" t="s">
        <v>27</v>
      </c>
      <c r="C11" s="2">
        <v>3</v>
      </c>
      <c r="D11" s="2">
        <f t="shared" si="0"/>
        <v>0.375</v>
      </c>
    </row>
    <row r="12" spans="1:4">
      <c r="A12" s="8">
        <v>43375</v>
      </c>
      <c r="B12" s="2" t="s">
        <v>28</v>
      </c>
      <c r="C12" s="2">
        <v>0.5</v>
      </c>
      <c r="D12" s="2">
        <f t="shared" si="0"/>
        <v>0.0625</v>
      </c>
    </row>
    <row r="13" spans="1:4">
      <c r="A13" s="8">
        <v>43392</v>
      </c>
      <c r="B13" s="2" t="s">
        <v>28</v>
      </c>
      <c r="C13" s="2">
        <v>0.5</v>
      </c>
      <c r="D13" s="2">
        <f t="shared" si="0"/>
        <v>0.0625</v>
      </c>
    </row>
    <row r="14" spans="1:4">
      <c r="A14" s="8">
        <v>43418</v>
      </c>
      <c r="B14" s="2" t="s">
        <v>28</v>
      </c>
      <c r="C14" s="2">
        <v>0.5</v>
      </c>
      <c r="D14" s="2">
        <f t="shared" si="0"/>
        <v>0.0625</v>
      </c>
    </row>
    <row r="15" spans="1:4">
      <c r="A15" s="8">
        <v>43475</v>
      </c>
      <c r="B15" s="2" t="s">
        <v>28</v>
      </c>
      <c r="C15" s="2">
        <v>0.25</v>
      </c>
      <c r="D15" s="2">
        <f t="shared" si="0"/>
        <v>0.03125</v>
      </c>
    </row>
    <row r="16" spans="1:4">
      <c r="A16" s="8">
        <v>43495</v>
      </c>
      <c r="B16" s="2" t="s">
        <v>28</v>
      </c>
      <c r="C16" s="2">
        <v>0.25</v>
      </c>
      <c r="D16" s="2">
        <f t="shared" si="0"/>
        <v>0.03125</v>
      </c>
    </row>
    <row r="17" spans="1:4">
      <c r="A17" s="8">
        <v>43513</v>
      </c>
      <c r="B17" s="2" t="s">
        <v>27</v>
      </c>
      <c r="C17" s="2">
        <v>0.25</v>
      </c>
      <c r="D17" s="2">
        <f t="shared" si="0"/>
        <v>0.03125</v>
      </c>
    </row>
    <row r="18" spans="1:4">
      <c r="A18" s="8">
        <v>43520</v>
      </c>
      <c r="B18" s="2" t="s">
        <v>29</v>
      </c>
      <c r="C18" s="2">
        <v>0.25</v>
      </c>
      <c r="D18" s="2">
        <f t="shared" si="0"/>
        <v>0.03125</v>
      </c>
    </row>
    <row r="19" spans="1:4">
      <c r="A19" s="8">
        <v>43536</v>
      </c>
      <c r="B19" s="2" t="s">
        <v>29</v>
      </c>
      <c r="C19" s="2">
        <v>0.25</v>
      </c>
      <c r="D19" s="2">
        <f t="shared" si="0"/>
        <v>0.03125</v>
      </c>
    </row>
    <row r="20" spans="1:4">
      <c r="A20" s="8">
        <v>43549</v>
      </c>
      <c r="B20" s="2" t="s">
        <v>29</v>
      </c>
      <c r="C20" s="2">
        <v>0.25</v>
      </c>
      <c r="D20" s="2">
        <f t="shared" si="0"/>
        <v>0.03125</v>
      </c>
    </row>
    <row r="21" spans="1:4">
      <c r="A21" s="8">
        <v>43550</v>
      </c>
      <c r="B21" s="2" t="s">
        <v>29</v>
      </c>
      <c r="C21" s="2">
        <v>0.25</v>
      </c>
      <c r="D21" s="2">
        <f t="shared" si="0"/>
        <v>0.03125</v>
      </c>
    </row>
    <row r="22" spans="1:4">
      <c r="A22" s="8">
        <v>43564</v>
      </c>
      <c r="B22" s="2" t="s">
        <v>27</v>
      </c>
      <c r="C22" s="2">
        <v>0.25</v>
      </c>
      <c r="D22" s="2">
        <f t="shared" si="0"/>
        <v>0.03125</v>
      </c>
    </row>
    <row r="23" spans="1:4">
      <c r="A23" s="8">
        <v>43566</v>
      </c>
      <c r="B23" s="2" t="s">
        <v>27</v>
      </c>
      <c r="C23" s="2">
        <v>0.25</v>
      </c>
      <c r="D23" s="2">
        <f t="shared" si="0"/>
        <v>0.03125</v>
      </c>
    </row>
    <row r="24" spans="1:4">
      <c r="A24" s="8">
        <v>43570</v>
      </c>
      <c r="B24" s="2" t="s">
        <v>29</v>
      </c>
      <c r="C24" s="2">
        <v>0.25</v>
      </c>
      <c r="D24" s="2">
        <f t="shared" si="0"/>
        <v>0.03125</v>
      </c>
    </row>
    <row r="25" spans="1:4">
      <c r="A25" s="8">
        <v>43572</v>
      </c>
      <c r="B25" s="2" t="s">
        <v>29</v>
      </c>
      <c r="C25" s="2">
        <v>0.25</v>
      </c>
      <c r="D25" s="2">
        <f t="shared" si="0"/>
        <v>0.03125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ref="D68:D79" si="1">C68/8</f>
        <v>0</v>
      </c>
    </row>
    <row r="69" spans="4:4">
      <c r="D69" s="2">
        <f t="shared" si="1"/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79"/>
  <sheetViews>
    <sheetView workbookViewId="0">
      <selection activeCell="A14" sqref="$A14:$XFD14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13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4">
      <c r="A4" s="8">
        <v>43250</v>
      </c>
      <c r="B4" s="2" t="s">
        <v>27</v>
      </c>
      <c r="C4" s="2">
        <v>80</v>
      </c>
      <c r="D4" s="2">
        <f t="shared" ref="D4:D67" si="0">C4/8</f>
        <v>10</v>
      </c>
    </row>
    <row r="5" spans="1:9">
      <c r="A5" s="8">
        <v>43308</v>
      </c>
      <c r="B5" s="2" t="s">
        <v>25</v>
      </c>
      <c r="C5" s="2">
        <v>16</v>
      </c>
      <c r="D5" s="2">
        <f t="shared" si="0"/>
        <v>2</v>
      </c>
      <c r="I5" s="2" t="s">
        <v>32</v>
      </c>
    </row>
    <row r="6" spans="1:4">
      <c r="A6" s="8">
        <v>43319</v>
      </c>
      <c r="B6" s="2" t="s">
        <v>25</v>
      </c>
      <c r="C6" s="2">
        <v>4</v>
      </c>
      <c r="D6" s="2">
        <f t="shared" si="0"/>
        <v>0.5</v>
      </c>
    </row>
    <row r="7" spans="1:4">
      <c r="A7" s="8">
        <v>43325</v>
      </c>
      <c r="B7" s="2" t="s">
        <v>27</v>
      </c>
      <c r="C7" s="2">
        <v>0.25</v>
      </c>
      <c r="D7" s="2">
        <f t="shared" si="0"/>
        <v>0.03125</v>
      </c>
    </row>
    <row r="8" spans="1:4">
      <c r="A8" s="8">
        <v>43332</v>
      </c>
      <c r="B8" s="2" t="s">
        <v>26</v>
      </c>
      <c r="C8" s="2">
        <v>-15.2</v>
      </c>
      <c r="D8" s="2">
        <f t="shared" si="0"/>
        <v>-1.9</v>
      </c>
    </row>
    <row r="9" spans="1:4">
      <c r="A9" s="8">
        <v>43362</v>
      </c>
      <c r="B9" s="2" t="s">
        <v>27</v>
      </c>
      <c r="C9" s="2">
        <v>2</v>
      </c>
      <c r="D9" s="2">
        <f t="shared" si="0"/>
        <v>0.25</v>
      </c>
    </row>
    <row r="10" spans="1:4">
      <c r="A10" s="8">
        <v>43513</v>
      </c>
      <c r="B10" s="2" t="s">
        <v>27</v>
      </c>
      <c r="C10" s="2">
        <v>0.25</v>
      </c>
      <c r="D10" s="2">
        <f t="shared" si="0"/>
        <v>0.03125</v>
      </c>
    </row>
    <row r="11" spans="1:4">
      <c r="A11" s="8">
        <v>43516</v>
      </c>
      <c r="B11" s="2" t="s">
        <v>27</v>
      </c>
      <c r="C11" s="2">
        <v>0.25</v>
      </c>
      <c r="D11" s="2">
        <f t="shared" si="0"/>
        <v>0.03125</v>
      </c>
    </row>
    <row r="12" spans="1:4">
      <c r="A12" s="8">
        <v>43549</v>
      </c>
      <c r="B12" s="2" t="s">
        <v>29</v>
      </c>
      <c r="C12" s="2">
        <v>0.25</v>
      </c>
      <c r="D12" s="2">
        <f t="shared" si="0"/>
        <v>0.03125</v>
      </c>
    </row>
    <row r="13" spans="1:4">
      <c r="A13" s="8">
        <v>43564</v>
      </c>
      <c r="B13" s="2" t="s">
        <v>27</v>
      </c>
      <c r="C13" s="2">
        <v>0.25</v>
      </c>
      <c r="D13" s="2">
        <f t="shared" si="0"/>
        <v>0.03125</v>
      </c>
    </row>
    <row r="14" spans="1:4">
      <c r="A14" s="8">
        <v>43566</v>
      </c>
      <c r="B14" s="2" t="s">
        <v>27</v>
      </c>
      <c r="C14" s="2">
        <v>0.25</v>
      </c>
      <c r="D14" s="2">
        <f t="shared" si="0"/>
        <v>0.03125</v>
      </c>
    </row>
    <row r="15" spans="1:4">
      <c r="A15" s="8"/>
      <c r="D15" s="2">
        <f t="shared" si="0"/>
        <v>0</v>
      </c>
    </row>
    <row r="16" spans="1:4">
      <c r="A16" s="8"/>
      <c r="D16" s="2">
        <f t="shared" si="0"/>
        <v>0</v>
      </c>
    </row>
    <row r="17" spans="1:4">
      <c r="A17" s="8"/>
      <c r="D17" s="2">
        <f t="shared" si="0"/>
        <v>0</v>
      </c>
    </row>
    <row r="18" spans="4:4">
      <c r="D18" s="2">
        <f t="shared" si="0"/>
        <v>0</v>
      </c>
    </row>
    <row r="19" spans="4:4">
      <c r="D19" s="2">
        <f t="shared" si="0"/>
        <v>0</v>
      </c>
    </row>
    <row r="20" spans="4:4">
      <c r="D20" s="2">
        <f t="shared" si="0"/>
        <v>0</v>
      </c>
    </row>
    <row r="21" spans="4:4">
      <c r="D21" s="2">
        <f t="shared" si="0"/>
        <v>0</v>
      </c>
    </row>
    <row r="22" spans="4:4">
      <c r="D22" s="2">
        <f t="shared" si="0"/>
        <v>0</v>
      </c>
    </row>
    <row r="23" spans="4:4">
      <c r="D23" s="2">
        <f t="shared" si="0"/>
        <v>0</v>
      </c>
    </row>
    <row r="24" spans="4:4">
      <c r="D24" s="2">
        <f t="shared" si="0"/>
        <v>0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ref="D68:D79" si="1">C68/8</f>
        <v>0</v>
      </c>
    </row>
    <row r="69" spans="4:4">
      <c r="D69" s="2">
        <f t="shared" si="1"/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79"/>
  <sheetViews>
    <sheetView workbookViewId="0">
      <selection activeCell="A26" sqref="$A26:$XFD26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14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4">
      <c r="A4" s="8">
        <v>43250</v>
      </c>
      <c r="B4" s="2" t="s">
        <v>27</v>
      </c>
      <c r="C4" s="2">
        <v>76</v>
      </c>
      <c r="D4" s="2">
        <f t="shared" ref="D4:D67" si="0">C4/8</f>
        <v>9.5</v>
      </c>
    </row>
    <row r="5" spans="1:4">
      <c r="A5" s="8">
        <v>43318</v>
      </c>
      <c r="B5" s="2" t="s">
        <v>27</v>
      </c>
      <c r="C5" s="2">
        <v>1</v>
      </c>
      <c r="D5" s="2">
        <f t="shared" si="0"/>
        <v>0.125</v>
      </c>
    </row>
    <row r="6" spans="1:4">
      <c r="A6" s="8">
        <v>43325</v>
      </c>
      <c r="B6" s="2" t="s">
        <v>27</v>
      </c>
      <c r="C6" s="2">
        <v>1</v>
      </c>
      <c r="D6" s="2">
        <f t="shared" si="0"/>
        <v>0.125</v>
      </c>
    </row>
    <row r="7" spans="1:4">
      <c r="A7" s="8">
        <v>43332</v>
      </c>
      <c r="B7" s="2" t="s">
        <v>27</v>
      </c>
      <c r="C7" s="2">
        <v>1</v>
      </c>
      <c r="D7" s="2">
        <f t="shared" si="0"/>
        <v>0.125</v>
      </c>
    </row>
    <row r="8" spans="1:4">
      <c r="A8" s="8">
        <v>43332</v>
      </c>
      <c r="B8" s="2" t="s">
        <v>26</v>
      </c>
      <c r="C8" s="2">
        <v>1.9</v>
      </c>
      <c r="D8" s="2">
        <f t="shared" si="0"/>
        <v>0.2375</v>
      </c>
    </row>
    <row r="9" spans="1:4">
      <c r="A9" s="8">
        <v>43362</v>
      </c>
      <c r="B9" s="2" t="s">
        <v>27</v>
      </c>
      <c r="C9" s="2">
        <v>0.25</v>
      </c>
      <c r="D9" s="2">
        <f t="shared" si="0"/>
        <v>0.03125</v>
      </c>
    </row>
    <row r="10" spans="1:4">
      <c r="A10" s="8">
        <v>43389</v>
      </c>
      <c r="B10" s="2" t="s">
        <v>28</v>
      </c>
      <c r="C10" s="2">
        <v>0.5</v>
      </c>
      <c r="D10" s="2">
        <f t="shared" si="0"/>
        <v>0.0625</v>
      </c>
    </row>
    <row r="11" spans="1:4">
      <c r="A11" s="8">
        <v>43418</v>
      </c>
      <c r="B11" s="2" t="s">
        <v>28</v>
      </c>
      <c r="C11" s="2">
        <v>0.25</v>
      </c>
      <c r="D11" s="2">
        <f t="shared" si="0"/>
        <v>0.03125</v>
      </c>
    </row>
    <row r="12" spans="1:4">
      <c r="A12" s="8">
        <v>43476</v>
      </c>
      <c r="B12" s="2" t="s">
        <v>28</v>
      </c>
      <c r="C12" s="2">
        <v>0.25</v>
      </c>
      <c r="D12" s="2">
        <f t="shared" si="0"/>
        <v>0.03125</v>
      </c>
    </row>
    <row r="13" spans="1:4">
      <c r="A13" s="8">
        <v>43489</v>
      </c>
      <c r="B13" s="2" t="s">
        <v>28</v>
      </c>
      <c r="C13" s="2">
        <v>0.5</v>
      </c>
      <c r="D13" s="2">
        <f t="shared" si="0"/>
        <v>0.0625</v>
      </c>
    </row>
    <row r="14" spans="1:4">
      <c r="A14" s="8">
        <v>43493</v>
      </c>
      <c r="B14" s="2" t="s">
        <v>28</v>
      </c>
      <c r="C14" s="2">
        <v>0.5</v>
      </c>
      <c r="D14" s="2">
        <f t="shared" si="0"/>
        <v>0.0625</v>
      </c>
    </row>
    <row r="15" spans="1:4">
      <c r="A15" s="8">
        <v>43513</v>
      </c>
      <c r="B15" s="2" t="s">
        <v>27</v>
      </c>
      <c r="C15" s="2">
        <v>0.5</v>
      </c>
      <c r="D15" s="2">
        <f t="shared" si="0"/>
        <v>0.0625</v>
      </c>
    </row>
    <row r="16" spans="1:4">
      <c r="A16" s="8">
        <v>43516</v>
      </c>
      <c r="B16" s="2" t="s">
        <v>27</v>
      </c>
      <c r="C16" s="2">
        <v>0.25</v>
      </c>
      <c r="D16" s="2">
        <f t="shared" si="0"/>
        <v>0.03125</v>
      </c>
    </row>
    <row r="17" spans="1:4">
      <c r="A17" s="8">
        <v>43520</v>
      </c>
      <c r="B17" s="2" t="s">
        <v>29</v>
      </c>
      <c r="C17" s="2">
        <v>0.25</v>
      </c>
      <c r="D17" s="2">
        <f t="shared" si="0"/>
        <v>0.03125</v>
      </c>
    </row>
    <row r="18" spans="1:4">
      <c r="A18" s="8">
        <v>43536</v>
      </c>
      <c r="B18" s="2" t="s">
        <v>29</v>
      </c>
      <c r="C18" s="2">
        <v>0.25</v>
      </c>
      <c r="D18" s="2">
        <f t="shared" si="0"/>
        <v>0.03125</v>
      </c>
    </row>
    <row r="19" spans="1:4">
      <c r="A19" s="8">
        <v>43549</v>
      </c>
      <c r="B19" s="2" t="s">
        <v>29</v>
      </c>
      <c r="C19" s="2">
        <v>0.5</v>
      </c>
      <c r="D19" s="2">
        <f t="shared" si="0"/>
        <v>0.0625</v>
      </c>
    </row>
    <row r="20" spans="1:4">
      <c r="A20" s="8">
        <v>43550</v>
      </c>
      <c r="B20" s="2" t="s">
        <v>29</v>
      </c>
      <c r="C20" s="2">
        <v>0.5</v>
      </c>
      <c r="D20" s="2">
        <f t="shared" si="0"/>
        <v>0.0625</v>
      </c>
    </row>
    <row r="21" spans="1:4">
      <c r="A21" s="8">
        <v>43551</v>
      </c>
      <c r="B21" s="2" t="s">
        <v>29</v>
      </c>
      <c r="C21" s="2">
        <v>0.5</v>
      </c>
      <c r="D21" s="2">
        <f t="shared" si="0"/>
        <v>0.0625</v>
      </c>
    </row>
    <row r="22" spans="1:4">
      <c r="A22" s="8">
        <v>43558</v>
      </c>
      <c r="B22" s="2" t="s">
        <v>29</v>
      </c>
      <c r="C22" s="2">
        <v>0.5</v>
      </c>
      <c r="D22" s="2">
        <f t="shared" si="0"/>
        <v>0.0625</v>
      </c>
    </row>
    <row r="23" spans="1:4">
      <c r="A23" s="8">
        <v>43564</v>
      </c>
      <c r="B23" s="2" t="s">
        <v>27</v>
      </c>
      <c r="C23" s="2">
        <v>0.5</v>
      </c>
      <c r="D23" s="2">
        <f t="shared" si="0"/>
        <v>0.0625</v>
      </c>
    </row>
    <row r="24" spans="1:4">
      <c r="A24" s="8">
        <v>43566</v>
      </c>
      <c r="B24" s="2" t="s">
        <v>27</v>
      </c>
      <c r="C24" s="2">
        <v>0.5</v>
      </c>
      <c r="D24" s="2">
        <f t="shared" si="0"/>
        <v>0.0625</v>
      </c>
    </row>
    <row r="25" spans="1:4">
      <c r="A25" s="8">
        <v>43570</v>
      </c>
      <c r="B25" s="2" t="s">
        <v>29</v>
      </c>
      <c r="C25" s="2">
        <v>0.5</v>
      </c>
      <c r="D25" s="2">
        <f t="shared" si="0"/>
        <v>0.0625</v>
      </c>
    </row>
    <row r="26" spans="1:4">
      <c r="A26" s="8">
        <v>43572</v>
      </c>
      <c r="B26" s="2" t="s">
        <v>29</v>
      </c>
      <c r="C26" s="2">
        <v>0.5</v>
      </c>
      <c r="D26" s="2">
        <f t="shared" si="0"/>
        <v>0.0625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ref="D68:D79" si="1">C68/8</f>
        <v>0</v>
      </c>
    </row>
    <row r="69" spans="4:4">
      <c r="D69" s="2">
        <f t="shared" si="1"/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79"/>
  <sheetViews>
    <sheetView workbookViewId="0">
      <selection activeCell="A22" sqref="$A22:$XFD22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15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4">
      <c r="A4" s="8">
        <v>43250</v>
      </c>
      <c r="B4" s="2" t="s">
        <v>27</v>
      </c>
      <c r="C4" s="2">
        <v>64</v>
      </c>
      <c r="D4" s="2">
        <f t="shared" ref="D4:D67" si="0">C4/8</f>
        <v>8</v>
      </c>
    </row>
    <row r="5" spans="1:4">
      <c r="A5" s="8">
        <v>43318</v>
      </c>
      <c r="B5" s="2" t="s">
        <v>27</v>
      </c>
      <c r="C5" s="2">
        <v>8</v>
      </c>
      <c r="D5" s="2">
        <v>1</v>
      </c>
    </row>
    <row r="6" spans="1:4">
      <c r="A6" s="8">
        <v>43325</v>
      </c>
      <c r="B6" s="2" t="s">
        <v>27</v>
      </c>
      <c r="C6" s="2">
        <v>2</v>
      </c>
      <c r="D6" s="2">
        <f t="shared" si="0"/>
        <v>0.25</v>
      </c>
    </row>
    <row r="7" spans="1:4">
      <c r="A7" s="8">
        <v>43332</v>
      </c>
      <c r="B7" s="2" t="s">
        <v>27</v>
      </c>
      <c r="C7" s="2">
        <v>0.25</v>
      </c>
      <c r="D7" s="2">
        <f t="shared" si="0"/>
        <v>0.03125</v>
      </c>
    </row>
    <row r="8" spans="1:4">
      <c r="A8" s="8">
        <v>43332</v>
      </c>
      <c r="B8" s="2" t="s">
        <v>26</v>
      </c>
      <c r="C8" s="2">
        <v>-15.2</v>
      </c>
      <c r="D8" s="2">
        <f t="shared" si="0"/>
        <v>-1.9</v>
      </c>
    </row>
    <row r="9" spans="1:4">
      <c r="A9" s="8">
        <v>43362</v>
      </c>
      <c r="B9" s="2" t="s">
        <v>27</v>
      </c>
      <c r="C9" s="2">
        <v>2</v>
      </c>
      <c r="D9" s="2">
        <f t="shared" si="0"/>
        <v>0.25</v>
      </c>
    </row>
    <row r="10" spans="1:4">
      <c r="A10" s="8">
        <v>43389</v>
      </c>
      <c r="B10" s="2" t="s">
        <v>28</v>
      </c>
      <c r="C10" s="2">
        <v>0.5</v>
      </c>
      <c r="D10" s="2">
        <f t="shared" si="0"/>
        <v>0.0625</v>
      </c>
    </row>
    <row r="11" spans="1:4">
      <c r="A11" s="8">
        <v>43418</v>
      </c>
      <c r="B11" s="2" t="s">
        <v>28</v>
      </c>
      <c r="C11" s="2">
        <v>0.5</v>
      </c>
      <c r="D11" s="2">
        <f t="shared" si="0"/>
        <v>0.0625</v>
      </c>
    </row>
    <row r="12" spans="1:4">
      <c r="A12" s="8">
        <v>43488</v>
      </c>
      <c r="B12" s="2" t="s">
        <v>28</v>
      </c>
      <c r="C12" s="2">
        <v>0.25</v>
      </c>
      <c r="D12" s="2">
        <f t="shared" si="0"/>
        <v>0.03125</v>
      </c>
    </row>
    <row r="13" spans="1:4">
      <c r="A13" s="8">
        <v>43513</v>
      </c>
      <c r="B13" s="2" t="s">
        <v>27</v>
      </c>
      <c r="C13" s="2">
        <v>0.5</v>
      </c>
      <c r="D13" s="2">
        <f t="shared" si="0"/>
        <v>0.0625</v>
      </c>
    </row>
    <row r="14" spans="1:4">
      <c r="A14" s="8">
        <v>43516</v>
      </c>
      <c r="B14" s="2" t="s">
        <v>27</v>
      </c>
      <c r="C14" s="2">
        <v>0.25</v>
      </c>
      <c r="D14" s="2">
        <f t="shared" si="0"/>
        <v>0.03125</v>
      </c>
    </row>
    <row r="15" spans="1:4">
      <c r="A15" s="8">
        <v>43520</v>
      </c>
      <c r="B15" s="2" t="s">
        <v>29</v>
      </c>
      <c r="C15" s="2">
        <v>0.25</v>
      </c>
      <c r="D15" s="2">
        <f t="shared" si="0"/>
        <v>0.03125</v>
      </c>
    </row>
    <row r="16" spans="1:4">
      <c r="A16" s="8">
        <v>43536</v>
      </c>
      <c r="B16" s="2" t="s">
        <v>29</v>
      </c>
      <c r="C16" s="2">
        <v>0.25</v>
      </c>
      <c r="D16" s="2">
        <f t="shared" si="0"/>
        <v>0.03125</v>
      </c>
    </row>
    <row r="17" spans="1:4">
      <c r="A17" s="8">
        <v>43549</v>
      </c>
      <c r="B17" s="2" t="s">
        <v>29</v>
      </c>
      <c r="C17" s="2">
        <v>0.5</v>
      </c>
      <c r="D17" s="2">
        <f t="shared" si="0"/>
        <v>0.0625</v>
      </c>
    </row>
    <row r="18" spans="1:4">
      <c r="A18" s="8">
        <v>43550</v>
      </c>
      <c r="B18" s="2" t="s">
        <v>29</v>
      </c>
      <c r="C18" s="2">
        <v>0.5</v>
      </c>
      <c r="D18" s="2">
        <f t="shared" si="0"/>
        <v>0.0625</v>
      </c>
    </row>
    <row r="19" spans="1:4">
      <c r="A19" s="8">
        <v>43551</v>
      </c>
      <c r="B19" s="2" t="s">
        <v>29</v>
      </c>
      <c r="C19" s="2">
        <v>0.5</v>
      </c>
      <c r="D19" s="2">
        <f t="shared" si="0"/>
        <v>0.0625</v>
      </c>
    </row>
    <row r="20" spans="1:4">
      <c r="A20" s="8">
        <v>43558</v>
      </c>
      <c r="B20" s="2" t="s">
        <v>29</v>
      </c>
      <c r="C20" s="2">
        <v>0.25</v>
      </c>
      <c r="D20" s="2">
        <f t="shared" si="0"/>
        <v>0.03125</v>
      </c>
    </row>
    <row r="21" spans="1:4">
      <c r="A21" s="8">
        <v>43564</v>
      </c>
      <c r="B21" s="2" t="s">
        <v>27</v>
      </c>
      <c r="C21" s="2">
        <v>0.5</v>
      </c>
      <c r="D21" s="2">
        <f t="shared" ref="D21" si="1">C21/8</f>
        <v>0.0625</v>
      </c>
    </row>
    <row r="22" spans="1:4">
      <c r="A22" s="8">
        <v>43566</v>
      </c>
      <c r="B22" s="2" t="s">
        <v>27</v>
      </c>
      <c r="C22" s="2">
        <v>0.5</v>
      </c>
      <c r="D22" s="2">
        <f t="shared" ref="D22" si="2">C22/8</f>
        <v>0.0625</v>
      </c>
    </row>
    <row r="23" spans="4:4">
      <c r="D23" s="2">
        <f t="shared" si="0"/>
        <v>0</v>
      </c>
    </row>
    <row r="24" spans="4:4">
      <c r="D24" s="2">
        <f t="shared" si="0"/>
        <v>0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ref="D68:D79" si="3">C68/8</f>
        <v>0</v>
      </c>
    </row>
    <row r="69" spans="4:4">
      <c r="D69" s="2">
        <f t="shared" si="3"/>
        <v>0</v>
      </c>
    </row>
    <row r="70" spans="4:4">
      <c r="D70" s="2">
        <f t="shared" si="3"/>
        <v>0</v>
      </c>
    </row>
    <row r="71" spans="4:4">
      <c r="D71" s="2">
        <f t="shared" si="3"/>
        <v>0</v>
      </c>
    </row>
    <row r="72" spans="4:4">
      <c r="D72" s="2">
        <f t="shared" si="3"/>
        <v>0</v>
      </c>
    </row>
    <row r="73" spans="4:4">
      <c r="D73" s="2">
        <f t="shared" si="3"/>
        <v>0</v>
      </c>
    </row>
    <row r="74" spans="4:4">
      <c r="D74" s="2">
        <f t="shared" si="3"/>
        <v>0</v>
      </c>
    </row>
    <row r="75" spans="4:4">
      <c r="D75" s="2">
        <f t="shared" si="3"/>
        <v>0</v>
      </c>
    </row>
    <row r="76" spans="4:4">
      <c r="D76" s="2">
        <f t="shared" si="3"/>
        <v>0</v>
      </c>
    </row>
    <row r="77" spans="4:4">
      <c r="D77" s="2">
        <f t="shared" si="3"/>
        <v>0</v>
      </c>
    </row>
    <row r="78" spans="4:4">
      <c r="D78" s="2">
        <f t="shared" si="3"/>
        <v>0</v>
      </c>
    </row>
    <row r="79" spans="4:4">
      <c r="D79" s="2">
        <f t="shared" si="3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79"/>
  <sheetViews>
    <sheetView workbookViewId="0">
      <selection activeCell="A24" sqref="$A24:$XFD24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16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4">
      <c r="A4" s="8">
        <v>43250</v>
      </c>
      <c r="B4" s="2" t="s">
        <v>27</v>
      </c>
      <c r="C4" s="2">
        <v>86</v>
      </c>
      <c r="D4" s="2">
        <f t="shared" ref="D4:D19" si="0">C4/8</f>
        <v>10.75</v>
      </c>
    </row>
    <row r="5" spans="1:9">
      <c r="A5" s="8">
        <v>43311</v>
      </c>
      <c r="B5" s="2" t="s">
        <v>27</v>
      </c>
      <c r="C5" s="2">
        <v>32</v>
      </c>
      <c r="D5" s="2">
        <f t="shared" si="0"/>
        <v>4</v>
      </c>
      <c r="I5" s="2" t="s">
        <v>33</v>
      </c>
    </row>
    <row r="6" spans="1:4">
      <c r="A6" s="8">
        <v>43319</v>
      </c>
      <c r="B6" s="2" t="s">
        <v>25</v>
      </c>
      <c r="C6" s="2">
        <v>4</v>
      </c>
      <c r="D6" s="2">
        <f t="shared" si="0"/>
        <v>0.5</v>
      </c>
    </row>
    <row r="7" spans="1:9">
      <c r="A7" s="8">
        <v>43326</v>
      </c>
      <c r="B7" s="2" t="s">
        <v>25</v>
      </c>
      <c r="C7" s="2">
        <v>6</v>
      </c>
      <c r="D7" s="2">
        <f t="shared" si="0"/>
        <v>0.75</v>
      </c>
      <c r="I7" s="2" t="s">
        <v>34</v>
      </c>
    </row>
    <row r="8" spans="1:4">
      <c r="A8" s="8">
        <v>43332</v>
      </c>
      <c r="B8" s="2" t="s">
        <v>27</v>
      </c>
      <c r="C8" s="2">
        <v>0.25</v>
      </c>
      <c r="D8" s="2">
        <f t="shared" si="0"/>
        <v>0.03125</v>
      </c>
    </row>
    <row r="9" spans="1:4">
      <c r="A9" s="8">
        <v>43332</v>
      </c>
      <c r="B9" s="2" t="s">
        <v>26</v>
      </c>
      <c r="C9" s="2">
        <v>-15.2</v>
      </c>
      <c r="D9" s="2">
        <f t="shared" si="0"/>
        <v>-1.9</v>
      </c>
    </row>
    <row r="10" spans="1:4">
      <c r="A10" s="8">
        <v>43363</v>
      </c>
      <c r="B10" s="2" t="s">
        <v>27</v>
      </c>
      <c r="C10" s="2">
        <v>4</v>
      </c>
      <c r="D10" s="2">
        <f t="shared" si="0"/>
        <v>0.5</v>
      </c>
    </row>
    <row r="11" spans="1:4">
      <c r="A11" s="8">
        <v>43375</v>
      </c>
      <c r="B11" s="2" t="s">
        <v>28</v>
      </c>
      <c r="C11" s="2">
        <v>0.5</v>
      </c>
      <c r="D11" s="2">
        <f t="shared" si="0"/>
        <v>0.0625</v>
      </c>
    </row>
    <row r="12" spans="1:4">
      <c r="A12" s="8">
        <v>43391</v>
      </c>
      <c r="B12" s="2" t="s">
        <v>28</v>
      </c>
      <c r="C12" s="2">
        <v>0.5</v>
      </c>
      <c r="D12" s="2">
        <f t="shared" si="0"/>
        <v>0.0625</v>
      </c>
    </row>
    <row r="13" spans="1:4">
      <c r="A13" s="8">
        <v>43418</v>
      </c>
      <c r="B13" s="2" t="s">
        <v>28</v>
      </c>
      <c r="C13" s="2">
        <v>0.5</v>
      </c>
      <c r="D13" s="2">
        <f t="shared" si="0"/>
        <v>0.0625</v>
      </c>
    </row>
    <row r="14" spans="1:4">
      <c r="A14" s="8">
        <v>43513</v>
      </c>
      <c r="B14" s="2" t="s">
        <v>27</v>
      </c>
      <c r="C14" s="2">
        <v>0.25</v>
      </c>
      <c r="D14" s="2">
        <f t="shared" si="0"/>
        <v>0.03125</v>
      </c>
    </row>
    <row r="15" spans="1:4">
      <c r="A15" s="8">
        <v>43520</v>
      </c>
      <c r="B15" s="2" t="s">
        <v>29</v>
      </c>
      <c r="C15" s="2">
        <v>0.25</v>
      </c>
      <c r="D15" s="2">
        <f t="shared" si="0"/>
        <v>0.03125</v>
      </c>
    </row>
    <row r="16" spans="1:4">
      <c r="A16" s="8">
        <v>43523</v>
      </c>
      <c r="B16" s="2" t="s">
        <v>29</v>
      </c>
      <c r="C16" s="2">
        <v>0.25</v>
      </c>
      <c r="D16" s="2">
        <f t="shared" si="0"/>
        <v>0.03125</v>
      </c>
    </row>
    <row r="17" spans="1:4">
      <c r="A17" s="8">
        <v>43536</v>
      </c>
      <c r="B17" s="2" t="s">
        <v>29</v>
      </c>
      <c r="C17" s="2">
        <v>0.25</v>
      </c>
      <c r="D17" s="2">
        <f t="shared" si="0"/>
        <v>0.03125</v>
      </c>
    </row>
    <row r="18" spans="1:4">
      <c r="A18" s="8">
        <v>43549</v>
      </c>
      <c r="B18" s="2" t="s">
        <v>29</v>
      </c>
      <c r="C18" s="2">
        <v>0.25</v>
      </c>
      <c r="D18" s="2">
        <f t="shared" si="0"/>
        <v>0.03125</v>
      </c>
    </row>
    <row r="19" spans="1:4">
      <c r="A19" s="8">
        <v>43550</v>
      </c>
      <c r="B19" s="2" t="s">
        <v>29</v>
      </c>
      <c r="C19" s="2">
        <v>0.25</v>
      </c>
      <c r="D19" s="2">
        <f t="shared" si="0"/>
        <v>0.03125</v>
      </c>
    </row>
    <row r="20" spans="1:4">
      <c r="A20" s="8">
        <v>43558</v>
      </c>
      <c r="B20" s="2" t="s">
        <v>29</v>
      </c>
      <c r="C20" s="2">
        <v>0.25</v>
      </c>
      <c r="D20" s="2">
        <f>'Trode (4)'!C20/8</f>
        <v>0.03125</v>
      </c>
    </row>
    <row r="21" spans="1:4">
      <c r="A21" s="8">
        <v>43564</v>
      </c>
      <c r="B21" s="2" t="s">
        <v>27</v>
      </c>
      <c r="C21" s="2">
        <v>0.25</v>
      </c>
      <c r="D21" s="2">
        <f t="shared" ref="D21:D24" si="1">C21/8</f>
        <v>0.03125</v>
      </c>
    </row>
    <row r="22" spans="1:4">
      <c r="A22" s="8">
        <v>43566</v>
      </c>
      <c r="B22" s="2" t="s">
        <v>27</v>
      </c>
      <c r="C22" s="2">
        <v>0.25</v>
      </c>
      <c r="D22" s="2">
        <f t="shared" si="1"/>
        <v>0.03125</v>
      </c>
    </row>
    <row r="23" spans="1:4">
      <c r="A23" s="8">
        <v>43570</v>
      </c>
      <c r="B23" s="2" t="s">
        <v>29</v>
      </c>
      <c r="C23" s="2">
        <v>0.25</v>
      </c>
      <c r="D23" s="2">
        <f t="shared" si="1"/>
        <v>0.03125</v>
      </c>
    </row>
    <row r="24" spans="1:4">
      <c r="A24" s="8">
        <v>43572</v>
      </c>
      <c r="B24" s="2" t="s">
        <v>29</v>
      </c>
      <c r="C24" s="2">
        <v>0.25</v>
      </c>
      <c r="D24" s="2">
        <f t="shared" si="1"/>
        <v>0.03125</v>
      </c>
    </row>
    <row r="25" spans="4:4">
      <c r="D25" s="2">
        <f t="shared" ref="D25:D67" si="2">C25/8</f>
        <v>0</v>
      </c>
    </row>
    <row r="26" spans="4:4">
      <c r="D26" s="2">
        <f t="shared" si="2"/>
        <v>0</v>
      </c>
    </row>
    <row r="27" spans="4:4">
      <c r="D27" s="2">
        <f t="shared" si="2"/>
        <v>0</v>
      </c>
    </row>
    <row r="28" spans="4:4">
      <c r="D28" s="2">
        <f t="shared" si="2"/>
        <v>0</v>
      </c>
    </row>
    <row r="29" spans="4:4">
      <c r="D29" s="2">
        <f t="shared" si="2"/>
        <v>0</v>
      </c>
    </row>
    <row r="30" spans="4:4">
      <c r="D30" s="2">
        <f t="shared" si="2"/>
        <v>0</v>
      </c>
    </row>
    <row r="31" spans="4:4">
      <c r="D31" s="2">
        <f t="shared" si="2"/>
        <v>0</v>
      </c>
    </row>
    <row r="32" spans="4:4">
      <c r="D32" s="2">
        <f t="shared" si="2"/>
        <v>0</v>
      </c>
    </row>
    <row r="33" spans="4:4">
      <c r="D33" s="2">
        <f t="shared" si="2"/>
        <v>0</v>
      </c>
    </row>
    <row r="34" spans="4:4">
      <c r="D34" s="2">
        <f t="shared" si="2"/>
        <v>0</v>
      </c>
    </row>
    <row r="35" spans="4:4">
      <c r="D35" s="2">
        <f t="shared" si="2"/>
        <v>0</v>
      </c>
    </row>
    <row r="36" spans="4:4">
      <c r="D36" s="2">
        <f t="shared" si="2"/>
        <v>0</v>
      </c>
    </row>
    <row r="37" spans="4:4">
      <c r="D37" s="2">
        <f t="shared" si="2"/>
        <v>0</v>
      </c>
    </row>
    <row r="38" spans="4:4">
      <c r="D38" s="2">
        <f t="shared" si="2"/>
        <v>0</v>
      </c>
    </row>
    <row r="39" spans="4:4">
      <c r="D39" s="2">
        <f t="shared" si="2"/>
        <v>0</v>
      </c>
    </row>
    <row r="40" spans="4:4">
      <c r="D40" s="2">
        <f t="shared" si="2"/>
        <v>0</v>
      </c>
    </row>
    <row r="41" spans="4:4">
      <c r="D41" s="2">
        <f t="shared" si="2"/>
        <v>0</v>
      </c>
    </row>
    <row r="42" spans="4:4">
      <c r="D42" s="2">
        <f t="shared" si="2"/>
        <v>0</v>
      </c>
    </row>
    <row r="43" spans="4:4">
      <c r="D43" s="2">
        <f t="shared" si="2"/>
        <v>0</v>
      </c>
    </row>
    <row r="44" spans="4:4">
      <c r="D44" s="2">
        <f t="shared" si="2"/>
        <v>0</v>
      </c>
    </row>
    <row r="45" spans="4:4">
      <c r="D45" s="2">
        <f t="shared" si="2"/>
        <v>0</v>
      </c>
    </row>
    <row r="46" spans="4:4">
      <c r="D46" s="2">
        <f t="shared" si="2"/>
        <v>0</v>
      </c>
    </row>
    <row r="47" spans="4:4">
      <c r="D47" s="2">
        <f t="shared" si="2"/>
        <v>0</v>
      </c>
    </row>
    <row r="48" spans="4:4">
      <c r="D48" s="2">
        <f t="shared" si="2"/>
        <v>0</v>
      </c>
    </row>
    <row r="49" spans="4:4">
      <c r="D49" s="2">
        <f t="shared" si="2"/>
        <v>0</v>
      </c>
    </row>
    <row r="50" spans="4:4">
      <c r="D50" s="2">
        <f t="shared" si="2"/>
        <v>0</v>
      </c>
    </row>
    <row r="51" spans="4:4">
      <c r="D51" s="2">
        <f t="shared" si="2"/>
        <v>0</v>
      </c>
    </row>
    <row r="52" spans="4:4">
      <c r="D52" s="2">
        <f t="shared" si="2"/>
        <v>0</v>
      </c>
    </row>
    <row r="53" spans="4:4">
      <c r="D53" s="2">
        <f t="shared" si="2"/>
        <v>0</v>
      </c>
    </row>
    <row r="54" spans="4:4">
      <c r="D54" s="2">
        <f t="shared" si="2"/>
        <v>0</v>
      </c>
    </row>
    <row r="55" spans="4:4">
      <c r="D55" s="2">
        <f t="shared" si="2"/>
        <v>0</v>
      </c>
    </row>
    <row r="56" spans="4:4">
      <c r="D56" s="2">
        <f t="shared" si="2"/>
        <v>0</v>
      </c>
    </row>
    <row r="57" spans="4:4">
      <c r="D57" s="2">
        <f t="shared" si="2"/>
        <v>0</v>
      </c>
    </row>
    <row r="58" spans="4:4">
      <c r="D58" s="2">
        <f t="shared" si="2"/>
        <v>0</v>
      </c>
    </row>
    <row r="59" spans="4:4">
      <c r="D59" s="2">
        <f t="shared" si="2"/>
        <v>0</v>
      </c>
    </row>
    <row r="60" spans="4:4">
      <c r="D60" s="2">
        <f t="shared" si="2"/>
        <v>0</v>
      </c>
    </row>
    <row r="61" spans="4:4">
      <c r="D61" s="2">
        <f t="shared" si="2"/>
        <v>0</v>
      </c>
    </row>
    <row r="62" spans="4:4">
      <c r="D62" s="2">
        <f t="shared" si="2"/>
        <v>0</v>
      </c>
    </row>
    <row r="63" spans="4:4">
      <c r="D63" s="2">
        <f t="shared" si="2"/>
        <v>0</v>
      </c>
    </row>
    <row r="64" spans="4:4">
      <c r="D64" s="2">
        <f t="shared" si="2"/>
        <v>0</v>
      </c>
    </row>
    <row r="65" spans="4:4">
      <c r="D65" s="2">
        <f t="shared" si="2"/>
        <v>0</v>
      </c>
    </row>
    <row r="66" spans="4:4">
      <c r="D66" s="2">
        <f t="shared" si="2"/>
        <v>0</v>
      </c>
    </row>
    <row r="67" spans="4:4">
      <c r="D67" s="2">
        <f t="shared" si="2"/>
        <v>0</v>
      </c>
    </row>
    <row r="68" spans="4:4">
      <c r="D68" s="2">
        <f t="shared" ref="D68:D79" si="3">C68/8</f>
        <v>0</v>
      </c>
    </row>
    <row r="69" spans="4:4">
      <c r="D69" s="2">
        <f t="shared" si="3"/>
        <v>0</v>
      </c>
    </row>
    <row r="70" spans="4:4">
      <c r="D70" s="2">
        <f t="shared" si="3"/>
        <v>0</v>
      </c>
    </row>
    <row r="71" spans="4:4">
      <c r="D71" s="2">
        <f t="shared" si="3"/>
        <v>0</v>
      </c>
    </row>
    <row r="72" spans="4:4">
      <c r="D72" s="2">
        <f t="shared" si="3"/>
        <v>0</v>
      </c>
    </row>
    <row r="73" spans="4:4">
      <c r="D73" s="2">
        <f t="shared" si="3"/>
        <v>0</v>
      </c>
    </row>
    <row r="74" spans="4:4">
      <c r="D74" s="2">
        <f t="shared" si="3"/>
        <v>0</v>
      </c>
    </row>
    <row r="75" spans="4:4">
      <c r="D75" s="2">
        <f t="shared" si="3"/>
        <v>0</v>
      </c>
    </row>
    <row r="76" spans="4:4">
      <c r="D76" s="2">
        <f t="shared" si="3"/>
        <v>0</v>
      </c>
    </row>
    <row r="77" spans="4:4">
      <c r="D77" s="2">
        <f t="shared" si="3"/>
        <v>0</v>
      </c>
    </row>
    <row r="78" spans="4:4">
      <c r="D78" s="2">
        <f t="shared" si="3"/>
        <v>0</v>
      </c>
    </row>
    <row r="79" spans="4:4">
      <c r="D79" s="2">
        <f t="shared" si="3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79"/>
  <sheetViews>
    <sheetView workbookViewId="0">
      <selection activeCell="D11" sqref="D11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17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4">
      <c r="A4" s="8">
        <v>43250</v>
      </c>
      <c r="B4" s="2" t="s">
        <v>27</v>
      </c>
      <c r="C4" s="2">
        <v>80</v>
      </c>
      <c r="D4" s="2">
        <f t="shared" ref="D4:D67" si="0">C4/8</f>
        <v>10</v>
      </c>
    </row>
    <row r="5" spans="1:4">
      <c r="A5" s="8">
        <v>43319</v>
      </c>
      <c r="B5" s="2" t="s">
        <v>25</v>
      </c>
      <c r="C5" s="2">
        <v>16</v>
      </c>
      <c r="D5" s="2">
        <f t="shared" si="0"/>
        <v>2</v>
      </c>
    </row>
    <row r="6" spans="1:4">
      <c r="A6" s="8">
        <v>43325</v>
      </c>
      <c r="B6" s="2" t="s">
        <v>27</v>
      </c>
      <c r="C6" s="2">
        <v>1</v>
      </c>
      <c r="D6" s="2">
        <f t="shared" si="0"/>
        <v>0.125</v>
      </c>
    </row>
    <row r="7" spans="1:4">
      <c r="A7" s="8">
        <v>43332</v>
      </c>
      <c r="B7" s="2" t="s">
        <v>27</v>
      </c>
      <c r="C7" s="2">
        <v>4</v>
      </c>
      <c r="D7" s="2">
        <f t="shared" si="0"/>
        <v>0.5</v>
      </c>
    </row>
    <row r="8" spans="1:4">
      <c r="A8" s="8">
        <v>43332</v>
      </c>
      <c r="B8" s="2" t="s">
        <v>26</v>
      </c>
      <c r="C8" s="2">
        <v>-15.2</v>
      </c>
      <c r="D8" s="2">
        <f t="shared" si="0"/>
        <v>-1.9</v>
      </c>
    </row>
    <row r="9" spans="1:4">
      <c r="A9" s="8">
        <v>43362</v>
      </c>
      <c r="B9" s="2" t="s">
        <v>27</v>
      </c>
      <c r="C9" s="2">
        <v>4</v>
      </c>
      <c r="D9" s="2">
        <f t="shared" si="0"/>
        <v>0.5</v>
      </c>
    </row>
    <row r="10" spans="1:4">
      <c r="A10" s="8">
        <v>43374</v>
      </c>
      <c r="B10" s="2" t="s">
        <v>28</v>
      </c>
      <c r="C10" s="2">
        <v>0.5</v>
      </c>
      <c r="D10" s="2">
        <f t="shared" si="0"/>
        <v>0.0625</v>
      </c>
    </row>
    <row r="11" spans="1:4">
      <c r="A11" s="8">
        <v>43390</v>
      </c>
      <c r="B11" s="2" t="s">
        <v>28</v>
      </c>
      <c r="C11" s="2">
        <v>0.5</v>
      </c>
      <c r="D11" s="2">
        <f t="shared" si="0"/>
        <v>0.0625</v>
      </c>
    </row>
    <row r="12" spans="4:4">
      <c r="D12" s="2">
        <f t="shared" si="0"/>
        <v>0</v>
      </c>
    </row>
    <row r="13" spans="4:4">
      <c r="D13" s="2">
        <f t="shared" si="0"/>
        <v>0</v>
      </c>
    </row>
    <row r="14" spans="4:4">
      <c r="D14" s="2">
        <f t="shared" si="0"/>
        <v>0</v>
      </c>
    </row>
    <row r="15" spans="1:4">
      <c r="A15" s="8"/>
      <c r="D15" s="2">
        <f t="shared" si="0"/>
        <v>0</v>
      </c>
    </row>
    <row r="16" spans="1:4">
      <c r="A16" s="8"/>
      <c r="D16" s="2">
        <f t="shared" si="0"/>
        <v>0</v>
      </c>
    </row>
    <row r="17" spans="1:4">
      <c r="A17" s="8"/>
      <c r="D17" s="2">
        <f t="shared" si="0"/>
        <v>0</v>
      </c>
    </row>
    <row r="18" spans="4:4">
      <c r="D18" s="2">
        <f t="shared" si="0"/>
        <v>0</v>
      </c>
    </row>
    <row r="19" spans="4:4">
      <c r="D19" s="2">
        <f t="shared" si="0"/>
        <v>0</v>
      </c>
    </row>
    <row r="20" spans="4:4">
      <c r="D20" s="2">
        <f t="shared" si="0"/>
        <v>0</v>
      </c>
    </row>
    <row r="21" spans="4:4">
      <c r="D21" s="2">
        <f t="shared" si="0"/>
        <v>0</v>
      </c>
    </row>
    <row r="22" spans="4:4">
      <c r="D22" s="2">
        <f t="shared" si="0"/>
        <v>0</v>
      </c>
    </row>
    <row r="23" spans="4:4">
      <c r="D23" s="2">
        <f t="shared" si="0"/>
        <v>0</v>
      </c>
    </row>
    <row r="24" spans="4:4">
      <c r="D24" s="2">
        <f t="shared" si="0"/>
        <v>0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ref="D68:D79" si="1">C68/8</f>
        <v>0</v>
      </c>
    </row>
    <row r="69" spans="4:4">
      <c r="D69" s="2">
        <f t="shared" si="1"/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79"/>
  <sheetViews>
    <sheetView workbookViewId="0">
      <selection activeCell="A24" sqref="$A24:$XFD24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18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4">
      <c r="A4" s="8">
        <v>43250</v>
      </c>
      <c r="B4" s="2" t="s">
        <v>27</v>
      </c>
      <c r="C4" s="2">
        <v>64</v>
      </c>
      <c r="D4" s="2">
        <f t="shared" ref="D4:D67" si="0">C4/8</f>
        <v>8</v>
      </c>
    </row>
    <row r="5" spans="1:4">
      <c r="A5" s="8">
        <v>43318</v>
      </c>
      <c r="B5" s="2" t="s">
        <v>27</v>
      </c>
      <c r="C5" s="2">
        <v>48</v>
      </c>
      <c r="D5" s="2">
        <f t="shared" si="0"/>
        <v>6</v>
      </c>
    </row>
    <row r="6" spans="1:4">
      <c r="A6" s="8">
        <v>43332</v>
      </c>
      <c r="B6" s="2" t="s">
        <v>26</v>
      </c>
      <c r="C6" s="2">
        <v>-15.2</v>
      </c>
      <c r="D6" s="2">
        <f t="shared" si="0"/>
        <v>-1.9</v>
      </c>
    </row>
    <row r="7" spans="1:4">
      <c r="A7" s="8">
        <v>43362</v>
      </c>
      <c r="B7" s="2" t="s">
        <v>27</v>
      </c>
      <c r="C7" s="2">
        <v>0.25</v>
      </c>
      <c r="D7" s="2">
        <f t="shared" si="0"/>
        <v>0.03125</v>
      </c>
    </row>
    <row r="8" spans="1:4">
      <c r="A8" s="8">
        <v>43389</v>
      </c>
      <c r="B8" s="2" t="s">
        <v>28</v>
      </c>
      <c r="C8" s="2">
        <v>0.5</v>
      </c>
      <c r="D8" s="2">
        <f t="shared" si="0"/>
        <v>0.0625</v>
      </c>
    </row>
    <row r="9" spans="1:4">
      <c r="A9" s="8">
        <v>43418</v>
      </c>
      <c r="B9" s="2" t="s">
        <v>28</v>
      </c>
      <c r="C9" s="2">
        <v>0.5</v>
      </c>
      <c r="D9" s="2">
        <f t="shared" si="0"/>
        <v>0.0625</v>
      </c>
    </row>
    <row r="10" spans="1:4">
      <c r="A10" s="8">
        <v>43476</v>
      </c>
      <c r="B10" s="2" t="s">
        <v>28</v>
      </c>
      <c r="C10" s="2">
        <v>0.25</v>
      </c>
      <c r="D10" s="2">
        <f t="shared" si="0"/>
        <v>0.03125</v>
      </c>
    </row>
    <row r="11" spans="1:4">
      <c r="A11" s="8">
        <v>43488</v>
      </c>
      <c r="B11" s="2" t="s">
        <v>28</v>
      </c>
      <c r="C11" s="2">
        <v>0.25</v>
      </c>
      <c r="D11" s="2">
        <f t="shared" si="0"/>
        <v>0.03125</v>
      </c>
    </row>
    <row r="12" spans="1:4">
      <c r="A12" s="8">
        <v>43513</v>
      </c>
      <c r="B12" s="2" t="s">
        <v>27</v>
      </c>
      <c r="C12" s="2">
        <v>0.25</v>
      </c>
      <c r="D12" s="2">
        <f t="shared" si="0"/>
        <v>0.03125</v>
      </c>
    </row>
    <row r="13" spans="1:4">
      <c r="A13" s="8">
        <v>43516</v>
      </c>
      <c r="B13" s="2" t="s">
        <v>27</v>
      </c>
      <c r="C13" s="2">
        <v>0.25</v>
      </c>
      <c r="D13" s="2">
        <f t="shared" si="0"/>
        <v>0.03125</v>
      </c>
    </row>
    <row r="14" spans="1:4">
      <c r="A14" s="8">
        <v>43520</v>
      </c>
      <c r="B14" s="2" t="s">
        <v>29</v>
      </c>
      <c r="C14" s="2">
        <v>0.25</v>
      </c>
      <c r="D14" s="2">
        <f t="shared" si="0"/>
        <v>0.03125</v>
      </c>
    </row>
    <row r="15" spans="1:4">
      <c r="A15" s="8">
        <v>43523</v>
      </c>
      <c r="B15" s="2" t="s">
        <v>29</v>
      </c>
      <c r="C15" s="2">
        <v>0.25</v>
      </c>
      <c r="D15" s="2">
        <f t="shared" si="0"/>
        <v>0.03125</v>
      </c>
    </row>
    <row r="16" spans="1:4">
      <c r="A16" s="8">
        <v>43536</v>
      </c>
      <c r="B16" s="2" t="s">
        <v>29</v>
      </c>
      <c r="C16" s="2">
        <v>0.25</v>
      </c>
      <c r="D16" s="2">
        <f t="shared" si="0"/>
        <v>0.03125</v>
      </c>
    </row>
    <row r="17" spans="1:4">
      <c r="A17" s="8">
        <v>43549</v>
      </c>
      <c r="B17" s="2" t="s">
        <v>29</v>
      </c>
      <c r="C17" s="2">
        <v>0.25</v>
      </c>
      <c r="D17" s="2">
        <f t="shared" si="0"/>
        <v>0.03125</v>
      </c>
    </row>
    <row r="18" spans="1:4">
      <c r="A18" s="8">
        <v>43550</v>
      </c>
      <c r="B18" s="2" t="s">
        <v>29</v>
      </c>
      <c r="C18" s="2">
        <v>0.25</v>
      </c>
      <c r="D18" s="2">
        <f t="shared" si="0"/>
        <v>0.03125</v>
      </c>
    </row>
    <row r="19" spans="1:4">
      <c r="A19" s="8">
        <v>43551</v>
      </c>
      <c r="B19" s="2" t="s">
        <v>29</v>
      </c>
      <c r="C19" s="2">
        <v>0.25</v>
      </c>
      <c r="D19" s="2">
        <f t="shared" si="0"/>
        <v>0.03125</v>
      </c>
    </row>
    <row r="20" spans="1:4">
      <c r="A20" s="8">
        <v>43558</v>
      </c>
      <c r="B20" s="2" t="s">
        <v>29</v>
      </c>
      <c r="C20" s="2">
        <v>0.25</v>
      </c>
      <c r="D20" s="2">
        <f t="shared" si="0"/>
        <v>0.03125</v>
      </c>
    </row>
    <row r="21" spans="1:4">
      <c r="A21" s="8">
        <v>43564</v>
      </c>
      <c r="B21" s="2" t="s">
        <v>27</v>
      </c>
      <c r="C21" s="2">
        <v>0.5</v>
      </c>
      <c r="D21" s="2">
        <f t="shared" si="0"/>
        <v>0.0625</v>
      </c>
    </row>
    <row r="22" spans="1:4">
      <c r="A22" s="8">
        <v>43566</v>
      </c>
      <c r="B22" s="2" t="s">
        <v>27</v>
      </c>
      <c r="C22" s="2">
        <v>0.5</v>
      </c>
      <c r="D22" s="2">
        <f t="shared" si="0"/>
        <v>0.0625</v>
      </c>
    </row>
    <row r="23" spans="1:4">
      <c r="A23" s="8">
        <v>43570</v>
      </c>
      <c r="B23" s="2" t="s">
        <v>29</v>
      </c>
      <c r="C23" s="2">
        <v>0.25</v>
      </c>
      <c r="D23" s="2">
        <f t="shared" si="0"/>
        <v>0.03125</v>
      </c>
    </row>
    <row r="24" spans="1:4">
      <c r="A24" s="8">
        <v>43572</v>
      </c>
      <c r="B24" s="2" t="s">
        <v>29</v>
      </c>
      <c r="C24" s="2">
        <v>0.25</v>
      </c>
      <c r="D24" s="2">
        <f t="shared" si="0"/>
        <v>0.03125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ref="D68:D79" si="1">C68/8</f>
        <v>0</v>
      </c>
    </row>
    <row r="69" spans="4:4">
      <c r="D69" s="2">
        <f t="shared" si="1"/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79"/>
  <sheetViews>
    <sheetView workbookViewId="0">
      <selection activeCell="A21" sqref="$A21:$XFD21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19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4">
      <c r="A4" s="8">
        <v>43250</v>
      </c>
      <c r="B4" s="2" t="s">
        <v>27</v>
      </c>
      <c r="C4" s="2">
        <v>84</v>
      </c>
      <c r="D4" s="2">
        <f t="shared" ref="D4:D67" si="0">C4/8</f>
        <v>10.5</v>
      </c>
    </row>
    <row r="5" spans="1:9">
      <c r="A5" s="8">
        <v>43308</v>
      </c>
      <c r="B5" s="2" t="s">
        <v>25</v>
      </c>
      <c r="C5" s="2">
        <v>36</v>
      </c>
      <c r="D5" s="2">
        <f t="shared" si="0"/>
        <v>4.5</v>
      </c>
      <c r="I5" s="2" t="s">
        <v>32</v>
      </c>
    </row>
    <row r="6" spans="1:4">
      <c r="A6" s="8">
        <v>43320</v>
      </c>
      <c r="B6" s="2" t="s">
        <v>25</v>
      </c>
      <c r="C6" s="2">
        <v>16</v>
      </c>
      <c r="D6" s="2">
        <f t="shared" si="0"/>
        <v>2</v>
      </c>
    </row>
    <row r="7" spans="1:4">
      <c r="A7" s="8">
        <v>43326</v>
      </c>
      <c r="B7" s="2" t="s">
        <v>25</v>
      </c>
      <c r="C7" s="2">
        <v>6</v>
      </c>
      <c r="D7" s="2">
        <f t="shared" si="0"/>
        <v>0.75</v>
      </c>
    </row>
    <row r="8" spans="1:4">
      <c r="A8" s="8">
        <v>43332</v>
      </c>
      <c r="B8" s="2" t="s">
        <v>26</v>
      </c>
      <c r="C8" s="2">
        <v>-15.2</v>
      </c>
      <c r="D8" s="2">
        <f t="shared" si="0"/>
        <v>-1.9</v>
      </c>
    </row>
    <row r="9" spans="1:4">
      <c r="A9" s="8">
        <v>43333</v>
      </c>
      <c r="B9" s="2" t="s">
        <v>25</v>
      </c>
      <c r="C9" s="2">
        <v>3</v>
      </c>
      <c r="D9" s="2">
        <f t="shared" si="0"/>
        <v>0.375</v>
      </c>
    </row>
    <row r="10" spans="1:4">
      <c r="A10" s="8">
        <v>43363</v>
      </c>
      <c r="B10" s="2" t="s">
        <v>27</v>
      </c>
      <c r="C10" s="2">
        <v>2</v>
      </c>
      <c r="D10" s="2">
        <f t="shared" si="0"/>
        <v>0.25</v>
      </c>
    </row>
    <row r="11" spans="1:4">
      <c r="A11" s="8">
        <v>43375</v>
      </c>
      <c r="B11" s="2" t="s">
        <v>28</v>
      </c>
      <c r="C11" s="2">
        <v>0.5</v>
      </c>
      <c r="D11" s="2">
        <f t="shared" si="0"/>
        <v>0.0625</v>
      </c>
    </row>
    <row r="12" spans="1:4">
      <c r="A12" s="8">
        <v>43392</v>
      </c>
      <c r="B12" s="2" t="s">
        <v>28</v>
      </c>
      <c r="C12" s="2">
        <v>0.5</v>
      </c>
      <c r="D12" s="2">
        <f t="shared" si="0"/>
        <v>0.0625</v>
      </c>
    </row>
    <row r="13" spans="1:4">
      <c r="A13" s="8">
        <v>43495</v>
      </c>
      <c r="B13" s="2" t="s">
        <v>28</v>
      </c>
      <c r="C13" s="2">
        <v>0.25</v>
      </c>
      <c r="D13" s="2">
        <f t="shared" si="0"/>
        <v>0.03125</v>
      </c>
    </row>
    <row r="14" spans="1:4">
      <c r="A14" s="8">
        <v>43513</v>
      </c>
      <c r="B14" s="2" t="s">
        <v>27</v>
      </c>
      <c r="C14" s="2">
        <v>0.25</v>
      </c>
      <c r="D14" s="2">
        <f t="shared" si="0"/>
        <v>0.03125</v>
      </c>
    </row>
    <row r="15" spans="1:4">
      <c r="A15" s="8">
        <v>43520</v>
      </c>
      <c r="B15" s="2" t="s">
        <v>29</v>
      </c>
      <c r="C15" s="2">
        <v>0.25</v>
      </c>
      <c r="D15" s="2">
        <f t="shared" si="0"/>
        <v>0.03125</v>
      </c>
    </row>
    <row r="16" spans="1:4">
      <c r="A16" s="8">
        <v>43549</v>
      </c>
      <c r="B16" s="2" t="s">
        <v>29</v>
      </c>
      <c r="C16" s="2">
        <v>0.25</v>
      </c>
      <c r="D16" s="2">
        <f t="shared" si="0"/>
        <v>0.03125</v>
      </c>
    </row>
    <row r="17" spans="1:4">
      <c r="A17" s="8">
        <v>43550</v>
      </c>
      <c r="B17" s="2" t="s">
        <v>29</v>
      </c>
      <c r="C17" s="2">
        <v>0.25</v>
      </c>
      <c r="D17" s="2">
        <f t="shared" si="0"/>
        <v>0.03125</v>
      </c>
    </row>
    <row r="18" spans="1:4">
      <c r="A18" s="8">
        <v>43564</v>
      </c>
      <c r="B18" s="2" t="s">
        <v>27</v>
      </c>
      <c r="C18" s="2">
        <v>0.25</v>
      </c>
      <c r="D18" s="2">
        <f t="shared" si="0"/>
        <v>0.03125</v>
      </c>
    </row>
    <row r="19" spans="1:4">
      <c r="A19" s="8">
        <v>43566</v>
      </c>
      <c r="B19" s="2" t="s">
        <v>27</v>
      </c>
      <c r="C19" s="2">
        <v>0.5</v>
      </c>
      <c r="D19" s="2">
        <f t="shared" si="0"/>
        <v>0.0625</v>
      </c>
    </row>
    <row r="20" spans="1:4">
      <c r="A20" s="8">
        <v>43570</v>
      </c>
      <c r="B20" s="2" t="s">
        <v>29</v>
      </c>
      <c r="C20" s="2">
        <v>0.25</v>
      </c>
      <c r="D20" s="2">
        <f t="shared" si="0"/>
        <v>0.03125</v>
      </c>
    </row>
    <row r="21" spans="1:4">
      <c r="A21" s="8">
        <v>43572</v>
      </c>
      <c r="B21" s="2" t="s">
        <v>29</v>
      </c>
      <c r="C21" s="2">
        <v>0.25</v>
      </c>
      <c r="D21" s="2">
        <f t="shared" si="0"/>
        <v>0.03125</v>
      </c>
    </row>
    <row r="22" spans="4:4">
      <c r="D22" s="2">
        <f t="shared" si="0"/>
        <v>0</v>
      </c>
    </row>
    <row r="23" spans="4:4">
      <c r="D23" s="2">
        <f t="shared" si="0"/>
        <v>0</v>
      </c>
    </row>
    <row r="24" spans="4:4">
      <c r="D24" s="2">
        <f t="shared" si="0"/>
        <v>0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ref="D68:D79" si="1">C68/8</f>
        <v>0</v>
      </c>
    </row>
    <row r="69" spans="4:4">
      <c r="D69" s="2">
        <f t="shared" si="1"/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80"/>
  <sheetViews>
    <sheetView workbookViewId="0">
      <selection activeCell="A14" sqref="$A14:$XFD14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20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9">
      <c r="A4" s="8">
        <v>43255</v>
      </c>
      <c r="B4" s="2" t="s">
        <v>27</v>
      </c>
      <c r="C4" s="2">
        <v>90</v>
      </c>
      <c r="D4" s="2">
        <f>C4/8</f>
        <v>11.25</v>
      </c>
      <c r="I4" s="2" t="s">
        <v>35</v>
      </c>
    </row>
    <row r="5" spans="1:4">
      <c r="A5" s="8">
        <v>43311</v>
      </c>
      <c r="B5" s="2" t="s">
        <v>27</v>
      </c>
      <c r="C5" s="2">
        <v>20</v>
      </c>
      <c r="D5" s="2">
        <f t="shared" ref="D5:D68" si="0">C5/8</f>
        <v>2.5</v>
      </c>
    </row>
    <row r="6" spans="1:4">
      <c r="A6" s="8">
        <v>43319</v>
      </c>
      <c r="B6" s="2" t="s">
        <v>25</v>
      </c>
      <c r="C6" s="2">
        <v>12</v>
      </c>
      <c r="D6" s="2">
        <f t="shared" si="0"/>
        <v>1.5</v>
      </c>
    </row>
    <row r="7" spans="1:4">
      <c r="A7" s="8">
        <v>43325</v>
      </c>
      <c r="B7" s="2" t="s">
        <v>27</v>
      </c>
      <c r="C7" s="2">
        <v>8</v>
      </c>
      <c r="D7" s="2">
        <f t="shared" si="0"/>
        <v>1</v>
      </c>
    </row>
    <row r="8" spans="1:4">
      <c r="A8" s="8">
        <v>43332</v>
      </c>
      <c r="B8" s="2" t="s">
        <v>27</v>
      </c>
      <c r="C8" s="2">
        <v>1</v>
      </c>
      <c r="D8" s="2">
        <f t="shared" si="0"/>
        <v>0.125</v>
      </c>
    </row>
    <row r="9" spans="1:4">
      <c r="A9" s="8">
        <v>43332</v>
      </c>
      <c r="B9" s="2" t="s">
        <v>26</v>
      </c>
      <c r="C9" s="2">
        <v>-15.2</v>
      </c>
      <c r="D9" s="2">
        <f t="shared" si="0"/>
        <v>-1.9</v>
      </c>
    </row>
    <row r="10" spans="1:4">
      <c r="A10" s="8">
        <v>43362</v>
      </c>
      <c r="B10" s="2" t="s">
        <v>27</v>
      </c>
      <c r="C10" s="2">
        <v>0.5</v>
      </c>
      <c r="D10" s="2">
        <f t="shared" si="0"/>
        <v>0.0625</v>
      </c>
    </row>
    <row r="11" spans="1:4">
      <c r="A11" s="8">
        <v>43513</v>
      </c>
      <c r="B11" s="2" t="s">
        <v>27</v>
      </c>
      <c r="C11" s="2">
        <v>0.5</v>
      </c>
      <c r="D11" s="2">
        <f t="shared" si="0"/>
        <v>0.0625</v>
      </c>
    </row>
    <row r="12" spans="1:4">
      <c r="A12" s="8">
        <v>43549</v>
      </c>
      <c r="B12" s="2" t="s">
        <v>29</v>
      </c>
      <c r="C12" s="2">
        <v>0.5</v>
      </c>
      <c r="D12" s="2">
        <f t="shared" si="0"/>
        <v>0.0625</v>
      </c>
    </row>
    <row r="13" spans="1:4">
      <c r="A13" s="8">
        <v>43564</v>
      </c>
      <c r="B13" s="2" t="s">
        <v>27</v>
      </c>
      <c r="C13" s="2">
        <v>0.25</v>
      </c>
      <c r="D13" s="2">
        <f t="shared" si="0"/>
        <v>0.03125</v>
      </c>
    </row>
    <row r="14" spans="1:4">
      <c r="A14" s="8">
        <v>43566</v>
      </c>
      <c r="B14" s="2" t="s">
        <v>27</v>
      </c>
      <c r="C14" s="2">
        <v>0.25</v>
      </c>
      <c r="D14" s="2">
        <f t="shared" si="0"/>
        <v>0.03125</v>
      </c>
    </row>
    <row r="15" spans="4:4">
      <c r="D15" s="2">
        <f t="shared" si="0"/>
        <v>0</v>
      </c>
    </row>
    <row r="16" spans="1:4">
      <c r="A16" s="8"/>
      <c r="D16" s="2">
        <f t="shared" si="0"/>
        <v>0</v>
      </c>
    </row>
    <row r="17" spans="1:4">
      <c r="A17" s="8"/>
      <c r="D17" s="2">
        <f t="shared" si="0"/>
        <v>0</v>
      </c>
    </row>
    <row r="18" spans="1:4">
      <c r="A18" s="8"/>
      <c r="D18" s="2">
        <f t="shared" si="0"/>
        <v>0</v>
      </c>
    </row>
    <row r="19" spans="4:4">
      <c r="D19" s="2">
        <f t="shared" si="0"/>
        <v>0</v>
      </c>
    </row>
    <row r="20" spans="4:4">
      <c r="D20" s="2">
        <f t="shared" si="0"/>
        <v>0</v>
      </c>
    </row>
    <row r="21" spans="4:4">
      <c r="D21" s="2">
        <f t="shared" si="0"/>
        <v>0</v>
      </c>
    </row>
    <row r="22" spans="4:4">
      <c r="D22" s="2">
        <f t="shared" si="0"/>
        <v>0</v>
      </c>
    </row>
    <row r="23" spans="4:4">
      <c r="D23" s="2">
        <f t="shared" si="0"/>
        <v>0</v>
      </c>
    </row>
    <row r="24" spans="4:4">
      <c r="D24" s="2">
        <f t="shared" si="0"/>
        <v>0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si="0"/>
        <v>0</v>
      </c>
    </row>
    <row r="69" spans="4:4">
      <c r="D69" s="2">
        <f t="shared" ref="D69:D80" si="1">C69/8</f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  <row r="80" spans="4:4">
      <c r="D80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80"/>
  <sheetViews>
    <sheetView workbookViewId="0">
      <selection activeCell="A25" sqref="$A25:$XFD25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21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9">
      <c r="A4" s="8">
        <v>43269</v>
      </c>
      <c r="B4" s="2" t="s">
        <v>27</v>
      </c>
      <c r="C4" s="2">
        <v>33</v>
      </c>
      <c r="D4" s="2">
        <f>C4/8</f>
        <v>4.125</v>
      </c>
      <c r="E4" s="2">
        <v>1.3</v>
      </c>
      <c r="F4" s="2" t="s">
        <v>36</v>
      </c>
      <c r="I4" s="2" t="s">
        <v>37</v>
      </c>
    </row>
    <row r="5" spans="1:4">
      <c r="A5" s="8">
        <v>43318</v>
      </c>
      <c r="B5" s="2" t="s">
        <v>27</v>
      </c>
      <c r="C5" s="2">
        <v>2</v>
      </c>
      <c r="D5" s="2">
        <f t="shared" ref="D5:D68" si="0">C5/8</f>
        <v>0.25</v>
      </c>
    </row>
    <row r="6" spans="1:4">
      <c r="A6" s="8">
        <v>43332</v>
      </c>
      <c r="B6" s="2" t="s">
        <v>27</v>
      </c>
      <c r="C6" s="2">
        <v>0.5</v>
      </c>
      <c r="D6" s="2">
        <f t="shared" si="0"/>
        <v>0.0625</v>
      </c>
    </row>
    <row r="7" spans="1:4">
      <c r="A7" s="8">
        <v>43332</v>
      </c>
      <c r="B7" s="2" t="s">
        <v>26</v>
      </c>
      <c r="C7" s="2">
        <v>-15.2</v>
      </c>
      <c r="D7" s="2">
        <f t="shared" si="0"/>
        <v>-1.9</v>
      </c>
    </row>
    <row r="8" spans="1:4">
      <c r="A8" s="8">
        <v>43370</v>
      </c>
      <c r="B8" s="2" t="s">
        <v>28</v>
      </c>
      <c r="C8" s="2">
        <v>0.25</v>
      </c>
      <c r="D8" s="2">
        <f t="shared" si="0"/>
        <v>0.03125</v>
      </c>
    </row>
    <row r="9" spans="1:4">
      <c r="A9" s="8">
        <v>43418</v>
      </c>
      <c r="B9" s="2" t="s">
        <v>28</v>
      </c>
      <c r="C9" s="2">
        <v>0.25</v>
      </c>
      <c r="D9" s="2">
        <f t="shared" si="0"/>
        <v>0.03125</v>
      </c>
    </row>
    <row r="10" spans="1:4">
      <c r="A10" s="8">
        <v>43476</v>
      </c>
      <c r="B10" s="2" t="s">
        <v>28</v>
      </c>
      <c r="C10" s="2">
        <v>0.25</v>
      </c>
      <c r="D10" s="2">
        <f t="shared" si="0"/>
        <v>0.03125</v>
      </c>
    </row>
    <row r="11" spans="1:4">
      <c r="A11" s="8">
        <v>43489</v>
      </c>
      <c r="B11" s="2" t="s">
        <v>28</v>
      </c>
      <c r="C11" s="2">
        <v>0.25</v>
      </c>
      <c r="D11" s="2">
        <f t="shared" si="0"/>
        <v>0.03125</v>
      </c>
    </row>
    <row r="12" spans="1:4">
      <c r="A12" s="8">
        <v>43493</v>
      </c>
      <c r="B12" s="2" t="s">
        <v>28</v>
      </c>
      <c r="C12" s="2">
        <v>0.25</v>
      </c>
      <c r="D12" s="2">
        <f t="shared" si="0"/>
        <v>0.03125</v>
      </c>
    </row>
    <row r="13" spans="1:4">
      <c r="A13" s="8">
        <v>43513</v>
      </c>
      <c r="B13" s="2" t="s">
        <v>27</v>
      </c>
      <c r="C13" s="2">
        <v>0.25</v>
      </c>
      <c r="D13" s="2">
        <f t="shared" si="0"/>
        <v>0.03125</v>
      </c>
    </row>
    <row r="14" spans="1:4">
      <c r="A14" s="8">
        <v>43516</v>
      </c>
      <c r="B14" s="2" t="s">
        <v>27</v>
      </c>
      <c r="C14" s="2">
        <v>0.25</v>
      </c>
      <c r="D14" s="2">
        <f t="shared" si="0"/>
        <v>0.03125</v>
      </c>
    </row>
    <row r="15" spans="1:4">
      <c r="A15" s="8">
        <v>43520</v>
      </c>
      <c r="B15" s="2" t="s">
        <v>29</v>
      </c>
      <c r="C15" s="2">
        <v>0.25</v>
      </c>
      <c r="D15" s="2">
        <f t="shared" si="0"/>
        <v>0.03125</v>
      </c>
    </row>
    <row r="16" spans="1:4">
      <c r="A16" s="8">
        <v>43523</v>
      </c>
      <c r="B16" s="2" t="s">
        <v>29</v>
      </c>
      <c r="C16" s="2">
        <v>0.25</v>
      </c>
      <c r="D16" s="2">
        <f t="shared" si="0"/>
        <v>0.03125</v>
      </c>
    </row>
    <row r="17" spans="1:4">
      <c r="A17" s="8">
        <v>43536</v>
      </c>
      <c r="B17" s="2" t="s">
        <v>29</v>
      </c>
      <c r="C17" s="2">
        <v>0.25</v>
      </c>
      <c r="D17" s="2">
        <f t="shared" si="0"/>
        <v>0.03125</v>
      </c>
    </row>
    <row r="18" spans="1:4">
      <c r="A18" s="8">
        <v>43549</v>
      </c>
      <c r="B18" s="2" t="s">
        <v>29</v>
      </c>
      <c r="C18" s="2">
        <v>0.25</v>
      </c>
      <c r="D18" s="2">
        <f t="shared" si="0"/>
        <v>0.03125</v>
      </c>
    </row>
    <row r="19" spans="1:4">
      <c r="A19" s="8">
        <v>43550</v>
      </c>
      <c r="B19" s="2" t="s">
        <v>29</v>
      </c>
      <c r="C19" s="2">
        <v>0.25</v>
      </c>
      <c r="D19" s="2">
        <f t="shared" si="0"/>
        <v>0.03125</v>
      </c>
    </row>
    <row r="20" spans="1:4">
      <c r="A20" s="8">
        <v>43551</v>
      </c>
      <c r="B20" s="2" t="s">
        <v>29</v>
      </c>
      <c r="C20" s="2">
        <v>0.25</v>
      </c>
      <c r="D20" s="2">
        <f t="shared" si="0"/>
        <v>0.03125</v>
      </c>
    </row>
    <row r="21" spans="1:4">
      <c r="A21" s="8">
        <v>43558</v>
      </c>
      <c r="B21" s="2" t="s">
        <v>29</v>
      </c>
      <c r="C21" s="2">
        <v>0.25</v>
      </c>
      <c r="D21" s="2">
        <f t="shared" si="0"/>
        <v>0.03125</v>
      </c>
    </row>
    <row r="22" spans="1:4">
      <c r="A22" s="8">
        <v>43564</v>
      </c>
      <c r="B22" s="2" t="s">
        <v>27</v>
      </c>
      <c r="C22" s="2">
        <v>0.25</v>
      </c>
      <c r="D22" s="2">
        <f t="shared" si="0"/>
        <v>0.03125</v>
      </c>
    </row>
    <row r="23" spans="1:4">
      <c r="A23" s="8">
        <v>43566</v>
      </c>
      <c r="B23" s="2" t="s">
        <v>27</v>
      </c>
      <c r="C23" s="2">
        <v>0.25</v>
      </c>
      <c r="D23" s="2">
        <f t="shared" si="0"/>
        <v>0.03125</v>
      </c>
    </row>
    <row r="24" spans="1:4">
      <c r="A24" s="8">
        <v>43570</v>
      </c>
      <c r="B24" s="2" t="s">
        <v>29</v>
      </c>
      <c r="C24" s="2">
        <v>0.25</v>
      </c>
      <c r="D24" s="2">
        <f t="shared" si="0"/>
        <v>0.03125</v>
      </c>
    </row>
    <row r="25" spans="1:4">
      <c r="A25" s="8">
        <v>43572</v>
      </c>
      <c r="B25" s="2" t="s">
        <v>29</v>
      </c>
      <c r="C25" s="2">
        <v>0.25</v>
      </c>
      <c r="D25" s="2">
        <f t="shared" si="0"/>
        <v>0.03125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si="0"/>
        <v>0</v>
      </c>
    </row>
    <row r="69" spans="4:4">
      <c r="D69" s="2">
        <f t="shared" ref="D69:D80" si="1">C69/8</f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  <row r="80" spans="4:4">
      <c r="D80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79"/>
  <sheetViews>
    <sheetView workbookViewId="0">
      <selection activeCell="A24" sqref="$A24:$XFD24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22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9">
      <c r="A4" s="8">
        <v>43253</v>
      </c>
      <c r="B4" s="2" t="s">
        <v>27</v>
      </c>
      <c r="C4" s="2">
        <v>65</v>
      </c>
      <c r="D4" s="2">
        <f t="shared" ref="D4:D67" si="0">C4/8</f>
        <v>8.125</v>
      </c>
      <c r="I4" s="2" t="s">
        <v>38</v>
      </c>
    </row>
    <row r="5" spans="1:4">
      <c r="A5" s="8">
        <v>43318</v>
      </c>
      <c r="B5" s="2" t="s">
        <v>27</v>
      </c>
      <c r="C5" s="2">
        <v>-20</v>
      </c>
      <c r="D5" s="2">
        <f t="shared" si="0"/>
        <v>-2.5</v>
      </c>
    </row>
    <row r="6" spans="1:4">
      <c r="A6" s="8">
        <v>43325</v>
      </c>
      <c r="B6" s="2" t="s">
        <v>27</v>
      </c>
      <c r="C6" s="2">
        <v>-16</v>
      </c>
      <c r="D6" s="2">
        <f t="shared" si="0"/>
        <v>-2</v>
      </c>
    </row>
    <row r="7" spans="1:4">
      <c r="A7" s="8">
        <v>43332</v>
      </c>
      <c r="B7" s="2" t="s">
        <v>27</v>
      </c>
      <c r="C7" s="2">
        <v>1</v>
      </c>
      <c r="D7" s="2">
        <f t="shared" si="0"/>
        <v>0.125</v>
      </c>
    </row>
    <row r="8" spans="1:4">
      <c r="A8" s="8">
        <v>43332</v>
      </c>
      <c r="B8" s="2" t="s">
        <v>26</v>
      </c>
      <c r="C8" s="2">
        <v>-15.2</v>
      </c>
      <c r="D8" s="2">
        <f t="shared" si="0"/>
        <v>-1.9</v>
      </c>
    </row>
    <row r="9" spans="1:4">
      <c r="A9" s="8">
        <v>43362</v>
      </c>
      <c r="B9" s="2" t="s">
        <v>27</v>
      </c>
      <c r="C9" s="2">
        <v>2</v>
      </c>
      <c r="D9" s="2">
        <f t="shared" si="0"/>
        <v>0.25</v>
      </c>
    </row>
    <row r="10" spans="1:4">
      <c r="A10" s="8">
        <v>43370</v>
      </c>
      <c r="B10" s="2" t="s">
        <v>28</v>
      </c>
      <c r="C10" s="2">
        <v>0.25</v>
      </c>
      <c r="D10" s="2">
        <f t="shared" si="0"/>
        <v>0.03125</v>
      </c>
    </row>
    <row r="11" spans="1:4">
      <c r="A11" s="8">
        <v>43389</v>
      </c>
      <c r="B11" s="2" t="s">
        <v>28</v>
      </c>
      <c r="C11" s="2">
        <v>0.25</v>
      </c>
      <c r="D11" s="2">
        <f t="shared" si="0"/>
        <v>0.03125</v>
      </c>
    </row>
    <row r="12" spans="1:4">
      <c r="A12" s="8">
        <v>43418</v>
      </c>
      <c r="B12" s="2" t="s">
        <v>28</v>
      </c>
      <c r="C12" s="2">
        <v>0.5</v>
      </c>
      <c r="D12" s="2">
        <f t="shared" si="0"/>
        <v>0.0625</v>
      </c>
    </row>
    <row r="13" spans="1:4">
      <c r="A13" s="8">
        <v>43513</v>
      </c>
      <c r="B13" s="2" t="s">
        <v>27</v>
      </c>
      <c r="C13" s="2">
        <v>0.25</v>
      </c>
      <c r="D13" s="2">
        <f t="shared" si="0"/>
        <v>0.03125</v>
      </c>
    </row>
    <row r="14" spans="1:4">
      <c r="A14" s="8">
        <v>43516</v>
      </c>
      <c r="B14" s="2" t="s">
        <v>27</v>
      </c>
      <c r="C14" s="2">
        <v>0.25</v>
      </c>
      <c r="D14" s="2">
        <f t="shared" si="0"/>
        <v>0.03125</v>
      </c>
    </row>
    <row r="15" spans="1:4">
      <c r="A15" s="8">
        <v>43520</v>
      </c>
      <c r="B15" s="2" t="s">
        <v>29</v>
      </c>
      <c r="C15" s="2">
        <v>0.25</v>
      </c>
      <c r="D15" s="2">
        <f t="shared" si="0"/>
        <v>0.03125</v>
      </c>
    </row>
    <row r="16" spans="1:4">
      <c r="A16" s="8">
        <v>43549</v>
      </c>
      <c r="B16" s="2" t="s">
        <v>29</v>
      </c>
      <c r="C16" s="2">
        <v>0.25</v>
      </c>
      <c r="D16" s="2">
        <f t="shared" si="0"/>
        <v>0.03125</v>
      </c>
    </row>
    <row r="17" spans="1:4">
      <c r="A17" s="8">
        <v>43550</v>
      </c>
      <c r="B17" s="2" t="s">
        <v>29</v>
      </c>
      <c r="C17" s="2">
        <v>0.25</v>
      </c>
      <c r="D17" s="2">
        <f t="shared" si="0"/>
        <v>0.03125</v>
      </c>
    </row>
    <row r="18" spans="1:4">
      <c r="A18" s="8">
        <v>43551</v>
      </c>
      <c r="B18" s="2" t="s">
        <v>29</v>
      </c>
      <c r="C18" s="2">
        <v>0.25</v>
      </c>
      <c r="D18" s="2">
        <f t="shared" si="0"/>
        <v>0.03125</v>
      </c>
    </row>
    <row r="19" spans="1:4">
      <c r="A19" s="8">
        <v>43552</v>
      </c>
      <c r="B19" s="2" t="s">
        <v>29</v>
      </c>
      <c r="C19" s="2">
        <v>1</v>
      </c>
      <c r="D19" s="2">
        <f t="shared" si="0"/>
        <v>0.125</v>
      </c>
    </row>
    <row r="20" spans="1:4">
      <c r="A20" s="8">
        <v>43558</v>
      </c>
      <c r="B20" s="2" t="s">
        <v>29</v>
      </c>
      <c r="C20" s="2">
        <v>0.25</v>
      </c>
      <c r="D20" s="2">
        <f t="shared" si="0"/>
        <v>0.03125</v>
      </c>
    </row>
    <row r="21" spans="1:4">
      <c r="A21" s="8">
        <v>43564</v>
      </c>
      <c r="B21" s="2" t="s">
        <v>27</v>
      </c>
      <c r="C21" s="2">
        <v>0.25</v>
      </c>
      <c r="D21" s="2">
        <f t="shared" si="0"/>
        <v>0.03125</v>
      </c>
    </row>
    <row r="22" spans="1:4">
      <c r="A22" s="8">
        <v>43566</v>
      </c>
      <c r="B22" s="2" t="s">
        <v>27</v>
      </c>
      <c r="C22" s="2">
        <v>0.5</v>
      </c>
      <c r="D22" s="2">
        <f t="shared" si="0"/>
        <v>0.0625</v>
      </c>
    </row>
    <row r="23" spans="1:4">
      <c r="A23" s="8">
        <v>43570</v>
      </c>
      <c r="B23" s="2" t="s">
        <v>29</v>
      </c>
      <c r="C23" s="2">
        <v>0.25</v>
      </c>
      <c r="D23" s="2">
        <f t="shared" si="0"/>
        <v>0.03125</v>
      </c>
    </row>
    <row r="24" spans="1:4">
      <c r="A24" s="8">
        <v>43572</v>
      </c>
      <c r="B24" s="2" t="s">
        <v>29</v>
      </c>
      <c r="C24" s="2">
        <v>0.25</v>
      </c>
      <c r="D24" s="2">
        <f t="shared" si="0"/>
        <v>0.03125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ref="D68:D79" si="1">C68/8</f>
        <v>0</v>
      </c>
    </row>
    <row r="69" spans="4:4">
      <c r="D69" s="2">
        <f t="shared" si="1"/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80"/>
  <sheetViews>
    <sheetView workbookViewId="0">
      <selection activeCell="A24" sqref="$A24:$XFD24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23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9">
      <c r="A4" s="8">
        <v>43269</v>
      </c>
      <c r="B4" s="2" t="s">
        <v>27</v>
      </c>
      <c r="C4" s="2">
        <v>98</v>
      </c>
      <c r="D4" s="2">
        <f>C4/8</f>
        <v>12.25</v>
      </c>
      <c r="E4" s="2">
        <v>1.3</v>
      </c>
      <c r="F4" s="2" t="s">
        <v>39</v>
      </c>
      <c r="I4" s="2" t="s">
        <v>40</v>
      </c>
    </row>
    <row r="5" spans="1:9">
      <c r="A5" s="8">
        <v>43308</v>
      </c>
      <c r="B5" s="2" t="s">
        <v>25</v>
      </c>
      <c r="C5" s="2">
        <v>32</v>
      </c>
      <c r="D5" s="2">
        <f t="shared" ref="D5:D68" si="0">C5/8</f>
        <v>4</v>
      </c>
      <c r="I5" s="2" t="s">
        <v>32</v>
      </c>
    </row>
    <row r="6" spans="1:4">
      <c r="A6" s="8">
        <v>43319</v>
      </c>
      <c r="B6" s="2" t="s">
        <v>25</v>
      </c>
      <c r="C6" s="2">
        <v>8</v>
      </c>
      <c r="D6" s="2">
        <f t="shared" si="0"/>
        <v>1</v>
      </c>
    </row>
    <row r="7" spans="1:4">
      <c r="A7" s="8">
        <v>43326</v>
      </c>
      <c r="B7" s="2" t="s">
        <v>25</v>
      </c>
      <c r="C7" s="2">
        <v>6</v>
      </c>
      <c r="D7" s="2">
        <f t="shared" si="0"/>
        <v>0.75</v>
      </c>
    </row>
    <row r="8" spans="1:4">
      <c r="A8" s="8">
        <v>43332</v>
      </c>
      <c r="B8" s="2" t="s">
        <v>27</v>
      </c>
      <c r="C8" s="2">
        <v>1</v>
      </c>
      <c r="D8" s="2">
        <f t="shared" si="0"/>
        <v>0.125</v>
      </c>
    </row>
    <row r="9" spans="1:4">
      <c r="A9" s="8">
        <v>43332</v>
      </c>
      <c r="B9" s="2" t="s">
        <v>26</v>
      </c>
      <c r="C9" s="2">
        <v>-15.2</v>
      </c>
      <c r="D9" s="2">
        <f t="shared" si="0"/>
        <v>-1.9</v>
      </c>
    </row>
    <row r="10" spans="1:4">
      <c r="A10" s="8">
        <v>43363</v>
      </c>
      <c r="B10" s="2" t="s">
        <v>27</v>
      </c>
      <c r="C10" s="2">
        <v>4</v>
      </c>
      <c r="D10" s="2">
        <f t="shared" si="0"/>
        <v>0.5</v>
      </c>
    </row>
    <row r="11" spans="1:4">
      <c r="A11" s="8">
        <v>43375</v>
      </c>
      <c r="B11" s="2" t="s">
        <v>28</v>
      </c>
      <c r="C11" s="2">
        <v>0.5</v>
      </c>
      <c r="D11" s="2">
        <f t="shared" si="0"/>
        <v>0.0625</v>
      </c>
    </row>
    <row r="12" spans="1:4">
      <c r="A12" s="8">
        <v>43391</v>
      </c>
      <c r="B12" s="2" t="s">
        <v>28</v>
      </c>
      <c r="C12" s="2">
        <v>0.5</v>
      </c>
      <c r="D12" s="2">
        <f t="shared" si="0"/>
        <v>0.0625</v>
      </c>
    </row>
    <row r="13" spans="1:4">
      <c r="A13" s="8">
        <v>43475</v>
      </c>
      <c r="B13" s="2" t="s">
        <v>28</v>
      </c>
      <c r="C13" s="2">
        <v>0.25</v>
      </c>
      <c r="D13" s="2">
        <f t="shared" si="0"/>
        <v>0.03125</v>
      </c>
    </row>
    <row r="14" spans="1:4">
      <c r="A14" s="8">
        <v>43513</v>
      </c>
      <c r="B14" s="2" t="s">
        <v>27</v>
      </c>
      <c r="C14" s="2">
        <v>0.25</v>
      </c>
      <c r="D14" s="2">
        <f t="shared" si="0"/>
        <v>0.03125</v>
      </c>
    </row>
    <row r="15" spans="1:4">
      <c r="A15" s="8">
        <v>43520</v>
      </c>
      <c r="B15" s="2" t="s">
        <v>29</v>
      </c>
      <c r="C15" s="2">
        <v>0.25</v>
      </c>
      <c r="D15" s="2">
        <f t="shared" si="0"/>
        <v>0.03125</v>
      </c>
    </row>
    <row r="16" spans="1:4">
      <c r="A16" s="8">
        <v>43523</v>
      </c>
      <c r="B16" s="2" t="s">
        <v>29</v>
      </c>
      <c r="C16" s="2">
        <v>0.25</v>
      </c>
      <c r="D16" s="2">
        <f t="shared" si="0"/>
        <v>0.03125</v>
      </c>
    </row>
    <row r="17" spans="1:4">
      <c r="A17" s="8">
        <v>43536</v>
      </c>
      <c r="B17" s="2" t="s">
        <v>29</v>
      </c>
      <c r="C17" s="2">
        <v>0.25</v>
      </c>
      <c r="D17" s="2">
        <f t="shared" si="0"/>
        <v>0.03125</v>
      </c>
    </row>
    <row r="18" spans="1:4">
      <c r="A18" s="8">
        <v>43549</v>
      </c>
      <c r="B18" s="2" t="s">
        <v>29</v>
      </c>
      <c r="C18" s="2">
        <v>0.25</v>
      </c>
      <c r="D18" s="2">
        <f t="shared" si="0"/>
        <v>0.03125</v>
      </c>
    </row>
    <row r="19" spans="1:4">
      <c r="A19" s="8">
        <v>43550</v>
      </c>
      <c r="B19" s="2" t="s">
        <v>29</v>
      </c>
      <c r="C19" s="2">
        <v>0.25</v>
      </c>
      <c r="D19" s="2">
        <f t="shared" si="0"/>
        <v>0.03125</v>
      </c>
    </row>
    <row r="20" spans="1:4">
      <c r="A20" s="8">
        <v>43558</v>
      </c>
      <c r="B20" s="2" t="s">
        <v>29</v>
      </c>
      <c r="C20" s="2">
        <v>0.25</v>
      </c>
      <c r="D20" s="2">
        <f t="shared" si="0"/>
        <v>0.03125</v>
      </c>
    </row>
    <row r="21" spans="1:4">
      <c r="A21" s="8">
        <v>43564</v>
      </c>
      <c r="B21" s="2" t="s">
        <v>27</v>
      </c>
      <c r="C21" s="2">
        <v>0.25</v>
      </c>
      <c r="D21" s="2">
        <f t="shared" si="0"/>
        <v>0.03125</v>
      </c>
    </row>
    <row r="22" spans="1:4">
      <c r="A22" s="8">
        <v>43566</v>
      </c>
      <c r="B22" s="2" t="s">
        <v>27</v>
      </c>
      <c r="C22" s="2">
        <v>0.5</v>
      </c>
      <c r="D22" s="2">
        <f t="shared" si="0"/>
        <v>0.0625</v>
      </c>
    </row>
    <row r="23" spans="1:4">
      <c r="A23" s="8">
        <v>43570</v>
      </c>
      <c r="B23" s="2" t="s">
        <v>29</v>
      </c>
      <c r="C23" s="2">
        <v>0.25</v>
      </c>
      <c r="D23" s="2">
        <f t="shared" si="0"/>
        <v>0.03125</v>
      </c>
    </row>
    <row r="24" spans="1:4">
      <c r="A24" s="8">
        <v>43572</v>
      </c>
      <c r="B24" s="2" t="s">
        <v>29</v>
      </c>
      <c r="C24" s="2">
        <v>0.25</v>
      </c>
      <c r="D24" s="2">
        <f t="shared" si="0"/>
        <v>0.03125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si="0"/>
        <v>0</v>
      </c>
    </row>
    <row r="69" spans="4:4">
      <c r="D69" s="2">
        <f t="shared" ref="D69:D80" si="1">C69/8</f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  <row r="80" spans="4:4">
      <c r="D80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80"/>
  <sheetViews>
    <sheetView workbookViewId="0">
      <selection activeCell="G18" sqref="G18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24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9">
      <c r="A4" s="8">
        <v>43489</v>
      </c>
      <c r="B4" s="2" t="s">
        <v>28</v>
      </c>
      <c r="C4" s="2">
        <v>0.25</v>
      </c>
      <c r="D4" s="2">
        <f>C4/8</f>
        <v>0.03125</v>
      </c>
      <c r="I4" s="2" t="s">
        <v>41</v>
      </c>
    </row>
    <row r="5" spans="1:4">
      <c r="A5" s="8">
        <v>43493</v>
      </c>
      <c r="B5" s="2" t="s">
        <v>28</v>
      </c>
      <c r="C5" s="2">
        <v>0.25</v>
      </c>
      <c r="D5" s="2">
        <f>C5/8</f>
        <v>0.03125</v>
      </c>
    </row>
    <row r="6" spans="4:4">
      <c r="D6" s="2">
        <v>0</v>
      </c>
    </row>
    <row r="7" spans="4:4">
      <c r="D7" s="2">
        <v>0</v>
      </c>
    </row>
    <row r="8" spans="1:4">
      <c r="A8" s="8"/>
      <c r="D8" s="2">
        <f t="shared" ref="D8:D68" si="0">C8/8</f>
        <v>0</v>
      </c>
    </row>
    <row r="9" spans="4:4">
      <c r="D9" s="2">
        <f t="shared" si="0"/>
        <v>0</v>
      </c>
    </row>
    <row r="10" spans="4:4">
      <c r="D10" s="2">
        <f t="shared" si="0"/>
        <v>0</v>
      </c>
    </row>
    <row r="11" spans="4:4">
      <c r="D11" s="2">
        <f t="shared" si="0"/>
        <v>0</v>
      </c>
    </row>
    <row r="12" spans="4:4">
      <c r="D12" s="2">
        <f t="shared" si="0"/>
        <v>0</v>
      </c>
    </row>
    <row r="13" spans="4:4">
      <c r="D13" s="2">
        <f t="shared" si="0"/>
        <v>0</v>
      </c>
    </row>
    <row r="14" spans="4:4">
      <c r="D14" s="2">
        <f t="shared" si="0"/>
        <v>0</v>
      </c>
    </row>
    <row r="15" spans="4:4">
      <c r="D15" s="2">
        <f t="shared" si="0"/>
        <v>0</v>
      </c>
    </row>
    <row r="16" spans="1:4">
      <c r="A16" s="8"/>
      <c r="D16" s="2">
        <f t="shared" si="0"/>
        <v>0</v>
      </c>
    </row>
    <row r="17" spans="1:4">
      <c r="A17" s="8"/>
      <c r="D17" s="2">
        <f t="shared" si="0"/>
        <v>0</v>
      </c>
    </row>
    <row r="18" spans="1:4">
      <c r="A18" s="8"/>
      <c r="D18" s="2">
        <f t="shared" si="0"/>
        <v>0</v>
      </c>
    </row>
    <row r="19" spans="4:4">
      <c r="D19" s="2">
        <f t="shared" si="0"/>
        <v>0</v>
      </c>
    </row>
    <row r="20" spans="4:4">
      <c r="D20" s="2">
        <f t="shared" si="0"/>
        <v>0</v>
      </c>
    </row>
    <row r="21" spans="4:4">
      <c r="D21" s="2">
        <f t="shared" si="0"/>
        <v>0</v>
      </c>
    </row>
    <row r="22" spans="4:4">
      <c r="D22" s="2">
        <f t="shared" si="0"/>
        <v>0</v>
      </c>
    </row>
    <row r="23" spans="4:4">
      <c r="D23" s="2">
        <f t="shared" si="0"/>
        <v>0</v>
      </c>
    </row>
    <row r="24" spans="4:4">
      <c r="D24" s="2">
        <f t="shared" si="0"/>
        <v>0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si="0"/>
        <v>0</v>
      </c>
    </row>
    <row r="69" spans="4:4">
      <c r="D69" s="2">
        <f t="shared" ref="D69:D80" si="1">C69/8</f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  <row r="80" spans="4:4">
      <c r="D80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82"/>
  <sheetViews>
    <sheetView workbookViewId="0">
      <selection activeCell="A14" sqref="$A14:$XFD14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25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9">
      <c r="A4" s="8">
        <v>43269</v>
      </c>
      <c r="B4" s="2" t="s">
        <v>27</v>
      </c>
      <c r="C4" s="2">
        <v>69</v>
      </c>
      <c r="D4" s="2">
        <f>C4/8</f>
        <v>8.625</v>
      </c>
      <c r="E4" s="2">
        <v>1.2</v>
      </c>
      <c r="F4" s="2" t="s">
        <v>39</v>
      </c>
      <c r="I4" s="2" t="s">
        <v>42</v>
      </c>
    </row>
    <row r="5" spans="1:4">
      <c r="A5" s="8">
        <v>43318</v>
      </c>
      <c r="B5" s="2" t="s">
        <v>27</v>
      </c>
      <c r="C5" s="2">
        <v>-8</v>
      </c>
      <c r="D5" s="2">
        <f t="shared" ref="D5:D70" si="0">C5/8</f>
        <v>-1</v>
      </c>
    </row>
    <row r="6" spans="1:4">
      <c r="A6" s="8">
        <v>43332</v>
      </c>
      <c r="B6" s="2" t="s">
        <v>26</v>
      </c>
      <c r="C6" s="2">
        <v>-15.2</v>
      </c>
      <c r="D6" s="2">
        <f t="shared" si="0"/>
        <v>-1.9</v>
      </c>
    </row>
    <row r="7" spans="1:4">
      <c r="A7" s="8">
        <v>43362</v>
      </c>
      <c r="B7" s="2" t="s">
        <v>27</v>
      </c>
      <c r="C7" s="2">
        <v>0.25</v>
      </c>
      <c r="D7" s="2">
        <f t="shared" si="0"/>
        <v>0.03125</v>
      </c>
    </row>
    <row r="8" spans="1:4">
      <c r="A8" s="8">
        <v>43418</v>
      </c>
      <c r="B8" s="2" t="s">
        <v>28</v>
      </c>
      <c r="C8" s="2">
        <v>0.25</v>
      </c>
      <c r="D8" s="2">
        <f t="shared" si="0"/>
        <v>0.03125</v>
      </c>
    </row>
    <row r="9" spans="1:4">
      <c r="A9" s="8">
        <v>43513</v>
      </c>
      <c r="B9" s="2" t="s">
        <v>27</v>
      </c>
      <c r="C9" s="2">
        <v>0.25</v>
      </c>
      <c r="D9" s="2">
        <f t="shared" si="0"/>
        <v>0.03125</v>
      </c>
    </row>
    <row r="10" spans="1:4">
      <c r="A10" s="8">
        <v>43516</v>
      </c>
      <c r="B10" s="2" t="s">
        <v>27</v>
      </c>
      <c r="C10" s="2">
        <v>0.25</v>
      </c>
      <c r="D10" s="2">
        <f t="shared" si="0"/>
        <v>0.03125</v>
      </c>
    </row>
    <row r="11" spans="1:4">
      <c r="A11" s="8">
        <v>43520</v>
      </c>
      <c r="B11" s="2" t="s">
        <v>29</v>
      </c>
      <c r="C11" s="2">
        <v>0.25</v>
      </c>
      <c r="D11" s="2">
        <f t="shared" si="0"/>
        <v>0.03125</v>
      </c>
    </row>
    <row r="12" spans="1:4">
      <c r="A12" s="8">
        <v>43549</v>
      </c>
      <c r="B12" s="2" t="s">
        <v>29</v>
      </c>
      <c r="C12" s="2">
        <v>0.25</v>
      </c>
      <c r="D12" s="2">
        <f t="shared" si="0"/>
        <v>0.03125</v>
      </c>
    </row>
    <row r="13" spans="1:4">
      <c r="A13" s="8">
        <v>43558</v>
      </c>
      <c r="B13" s="2" t="s">
        <v>29</v>
      </c>
      <c r="C13" s="2">
        <v>0.25</v>
      </c>
      <c r="D13" s="2">
        <f t="shared" si="0"/>
        <v>0.03125</v>
      </c>
    </row>
    <row r="14" spans="1:4">
      <c r="A14" s="8">
        <v>43564</v>
      </c>
      <c r="B14" s="2" t="s">
        <v>27</v>
      </c>
      <c r="C14" s="2">
        <v>0.5</v>
      </c>
      <c r="D14" s="2">
        <f t="shared" ref="D14" si="1">C14/8</f>
        <v>0.0625</v>
      </c>
    </row>
    <row r="15" spans="4:4">
      <c r="D15" s="2">
        <f t="shared" si="0"/>
        <v>0</v>
      </c>
    </row>
    <row r="16" spans="4:4">
      <c r="D16" s="2">
        <f t="shared" si="0"/>
        <v>0</v>
      </c>
    </row>
    <row r="17" spans="4:4">
      <c r="D17" s="2">
        <f t="shared" si="0"/>
        <v>0</v>
      </c>
    </row>
    <row r="18" spans="1:4">
      <c r="A18" s="8"/>
      <c r="D18" s="2">
        <f t="shared" si="0"/>
        <v>0</v>
      </c>
    </row>
    <row r="19" spans="1:4">
      <c r="A19" s="8"/>
      <c r="D19" s="2">
        <f t="shared" si="0"/>
        <v>0</v>
      </c>
    </row>
    <row r="20" spans="1:4">
      <c r="A20" s="8"/>
      <c r="D20" s="2">
        <f t="shared" si="0"/>
        <v>0</v>
      </c>
    </row>
    <row r="21" spans="4:4">
      <c r="D21" s="2">
        <f t="shared" si="0"/>
        <v>0</v>
      </c>
    </row>
    <row r="22" spans="4:4">
      <c r="D22" s="2">
        <f t="shared" si="0"/>
        <v>0</v>
      </c>
    </row>
    <row r="23" spans="4:4">
      <c r="D23" s="2">
        <f t="shared" si="0"/>
        <v>0</v>
      </c>
    </row>
    <row r="24" spans="4:4">
      <c r="D24" s="2">
        <f t="shared" si="0"/>
        <v>0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si="0"/>
        <v>0</v>
      </c>
    </row>
    <row r="69" spans="4:4">
      <c r="D69" s="2">
        <f t="shared" si="0"/>
        <v>0</v>
      </c>
    </row>
    <row r="70" spans="4:4">
      <c r="D70" s="2">
        <f t="shared" si="0"/>
        <v>0</v>
      </c>
    </row>
    <row r="71" spans="4:4">
      <c r="D71" s="2">
        <f t="shared" ref="D71:D82" si="2">C71/8</f>
        <v>0</v>
      </c>
    </row>
    <row r="72" spans="4:4">
      <c r="D72" s="2">
        <f t="shared" si="2"/>
        <v>0</v>
      </c>
    </row>
    <row r="73" spans="4:4">
      <c r="D73" s="2">
        <f t="shared" si="2"/>
        <v>0</v>
      </c>
    </row>
    <row r="74" spans="4:4">
      <c r="D74" s="2">
        <f t="shared" si="2"/>
        <v>0</v>
      </c>
    </row>
    <row r="75" spans="4:4">
      <c r="D75" s="2">
        <f t="shared" si="2"/>
        <v>0</v>
      </c>
    </row>
    <row r="76" spans="4:4">
      <c r="D76" s="2">
        <f t="shared" si="2"/>
        <v>0</v>
      </c>
    </row>
    <row r="77" spans="4:4">
      <c r="D77" s="2">
        <f t="shared" si="2"/>
        <v>0</v>
      </c>
    </row>
    <row r="78" spans="4:4">
      <c r="D78" s="2">
        <f t="shared" si="2"/>
        <v>0</v>
      </c>
    </row>
    <row r="79" spans="4:4">
      <c r="D79" s="2">
        <f t="shared" si="2"/>
        <v>0</v>
      </c>
    </row>
    <row r="80" spans="4:4">
      <c r="D80" s="2">
        <f t="shared" si="2"/>
        <v>0</v>
      </c>
    </row>
    <row r="81" spans="4:4">
      <c r="D81" s="2">
        <f t="shared" si="2"/>
        <v>0</v>
      </c>
    </row>
    <row r="82" spans="4:4">
      <c r="D82" s="2">
        <f t="shared" si="2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81"/>
  <sheetViews>
    <sheetView workbookViewId="0">
      <selection activeCell="A20" sqref="$A20:$XFD20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26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9">
      <c r="A4" s="8">
        <v>43269</v>
      </c>
      <c r="B4" s="2" t="s">
        <v>27</v>
      </c>
      <c r="C4" s="2">
        <v>91.5</v>
      </c>
      <c r="D4" s="2">
        <f>C4/8</f>
        <v>11.4375</v>
      </c>
      <c r="E4" s="2">
        <v>1.3</v>
      </c>
      <c r="F4" s="2" t="s">
        <v>39</v>
      </c>
      <c r="I4" s="2" t="s">
        <v>43</v>
      </c>
    </row>
    <row r="5" spans="1:4">
      <c r="A5" s="8">
        <v>43311</v>
      </c>
      <c r="B5" s="2" t="s">
        <v>27</v>
      </c>
      <c r="C5" s="2">
        <v>-8</v>
      </c>
      <c r="D5" s="2">
        <f t="shared" ref="D5:D69" si="0">C5/8</f>
        <v>-1</v>
      </c>
    </row>
    <row r="6" spans="1:4">
      <c r="A6" s="8">
        <v>43319</v>
      </c>
      <c r="B6" s="2" t="s">
        <v>25</v>
      </c>
      <c r="C6" s="2">
        <v>-32</v>
      </c>
      <c r="D6" s="2">
        <f t="shared" si="0"/>
        <v>-4</v>
      </c>
    </row>
    <row r="7" spans="1:4">
      <c r="A7" s="8">
        <v>43332</v>
      </c>
      <c r="B7" s="2" t="s">
        <v>27</v>
      </c>
      <c r="C7" s="2">
        <v>0.5</v>
      </c>
      <c r="D7" s="2">
        <f t="shared" si="0"/>
        <v>0.0625</v>
      </c>
    </row>
    <row r="8" spans="1:4">
      <c r="A8" s="8">
        <v>43332</v>
      </c>
      <c r="B8" s="2" t="s">
        <v>26</v>
      </c>
      <c r="C8" s="2">
        <v>-15.2</v>
      </c>
      <c r="D8" s="2">
        <f t="shared" si="0"/>
        <v>-1.9</v>
      </c>
    </row>
    <row r="9" spans="1:4">
      <c r="A9" s="8">
        <v>43362</v>
      </c>
      <c r="B9" s="2" t="s">
        <v>27</v>
      </c>
      <c r="C9" s="2">
        <v>2</v>
      </c>
      <c r="D9" s="2">
        <f t="shared" si="0"/>
        <v>0.25</v>
      </c>
    </row>
    <row r="10" spans="1:4">
      <c r="A10" s="8">
        <v>43374</v>
      </c>
      <c r="B10" s="2" t="s">
        <v>28</v>
      </c>
      <c r="C10" s="2">
        <v>0.5</v>
      </c>
      <c r="D10" s="2">
        <f t="shared" si="0"/>
        <v>0.0625</v>
      </c>
    </row>
    <row r="11" spans="1:4">
      <c r="A11" s="8">
        <v>43418</v>
      </c>
      <c r="B11" s="2" t="s">
        <v>28</v>
      </c>
      <c r="C11" s="2">
        <v>0.25</v>
      </c>
      <c r="D11" s="2">
        <f t="shared" si="0"/>
        <v>0.03125</v>
      </c>
    </row>
    <row r="12" spans="1:4">
      <c r="A12" s="8">
        <v>43476</v>
      </c>
      <c r="B12" s="2" t="s">
        <v>28</v>
      </c>
      <c r="C12" s="2">
        <v>0.25</v>
      </c>
      <c r="D12" s="2">
        <f t="shared" si="0"/>
        <v>0.03125</v>
      </c>
    </row>
    <row r="13" spans="1:4">
      <c r="A13" s="8">
        <v>43513</v>
      </c>
      <c r="B13" s="2" t="s">
        <v>27</v>
      </c>
      <c r="C13" s="2">
        <v>0.25</v>
      </c>
      <c r="D13" s="2">
        <f t="shared" si="0"/>
        <v>0.03125</v>
      </c>
    </row>
    <row r="14" spans="1:4">
      <c r="A14" s="8">
        <v>43516</v>
      </c>
      <c r="B14" s="2" t="s">
        <v>27</v>
      </c>
      <c r="C14" s="2">
        <v>0.25</v>
      </c>
      <c r="D14" s="2">
        <f t="shared" si="0"/>
        <v>0.03125</v>
      </c>
    </row>
    <row r="15" spans="1:4">
      <c r="A15" s="8">
        <v>43549</v>
      </c>
      <c r="B15" s="2" t="s">
        <v>29</v>
      </c>
      <c r="C15" s="2">
        <v>0.25</v>
      </c>
      <c r="D15" s="2">
        <f t="shared" si="0"/>
        <v>0.03125</v>
      </c>
    </row>
    <row r="16" spans="1:4">
      <c r="A16" s="8">
        <v>43550</v>
      </c>
      <c r="B16" s="2" t="s">
        <v>29</v>
      </c>
      <c r="C16" s="2">
        <v>0.25</v>
      </c>
      <c r="D16" s="2">
        <f t="shared" si="0"/>
        <v>0.03125</v>
      </c>
    </row>
    <row r="17" spans="1:4">
      <c r="A17" s="8">
        <v>43551</v>
      </c>
      <c r="B17" s="2" t="s">
        <v>29</v>
      </c>
      <c r="C17" s="2">
        <v>0.25</v>
      </c>
      <c r="D17" s="2">
        <f t="shared" si="0"/>
        <v>0.03125</v>
      </c>
    </row>
    <row r="18" spans="1:4">
      <c r="A18" s="8">
        <v>43558</v>
      </c>
      <c r="B18" s="2" t="s">
        <v>29</v>
      </c>
      <c r="C18" s="2">
        <v>0.5</v>
      </c>
      <c r="D18" s="2">
        <f t="shared" si="0"/>
        <v>0.0625</v>
      </c>
    </row>
    <row r="19" spans="1:4">
      <c r="A19" s="8">
        <v>43564</v>
      </c>
      <c r="B19" s="2" t="s">
        <v>27</v>
      </c>
      <c r="C19" s="2">
        <v>0.25</v>
      </c>
      <c r="D19" s="2">
        <f t="shared" ref="D19:D20" si="1">C19/8</f>
        <v>0.03125</v>
      </c>
    </row>
    <row r="20" spans="1:4">
      <c r="A20" s="8">
        <v>43566</v>
      </c>
      <c r="B20" s="2" t="s">
        <v>27</v>
      </c>
      <c r="C20" s="2">
        <v>0.25</v>
      </c>
      <c r="D20" s="2">
        <f t="shared" si="1"/>
        <v>0.03125</v>
      </c>
    </row>
    <row r="21" spans="4:4">
      <c r="D21" s="2">
        <f t="shared" si="0"/>
        <v>0</v>
      </c>
    </row>
    <row r="22" spans="4:4">
      <c r="D22" s="2">
        <f t="shared" si="0"/>
        <v>0</v>
      </c>
    </row>
    <row r="23" spans="4:4">
      <c r="D23" s="2">
        <f t="shared" si="0"/>
        <v>0</v>
      </c>
    </row>
    <row r="24" spans="4:4">
      <c r="D24" s="2">
        <f t="shared" si="0"/>
        <v>0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si="0"/>
        <v>0</v>
      </c>
    </row>
    <row r="69" spans="4:4">
      <c r="D69" s="2">
        <f t="shared" si="0"/>
        <v>0</v>
      </c>
    </row>
    <row r="70" spans="4:4">
      <c r="D70" s="2">
        <f t="shared" ref="D70:D81" si="2">C70/8</f>
        <v>0</v>
      </c>
    </row>
    <row r="71" spans="4:4">
      <c r="D71" s="2">
        <f t="shared" si="2"/>
        <v>0</v>
      </c>
    </row>
    <row r="72" spans="4:4">
      <c r="D72" s="2">
        <f t="shared" si="2"/>
        <v>0</v>
      </c>
    </row>
    <row r="73" spans="4:4">
      <c r="D73" s="2">
        <f t="shared" si="2"/>
        <v>0</v>
      </c>
    </row>
    <row r="74" spans="4:4">
      <c r="D74" s="2">
        <f t="shared" si="2"/>
        <v>0</v>
      </c>
    </row>
    <row r="75" spans="4:4">
      <c r="D75" s="2">
        <f t="shared" si="2"/>
        <v>0</v>
      </c>
    </row>
    <row r="76" spans="4:4">
      <c r="D76" s="2">
        <f t="shared" si="2"/>
        <v>0</v>
      </c>
    </row>
    <row r="77" spans="4:4">
      <c r="D77" s="2">
        <f t="shared" si="2"/>
        <v>0</v>
      </c>
    </row>
    <row r="78" spans="4:4">
      <c r="D78" s="2">
        <f t="shared" si="2"/>
        <v>0</v>
      </c>
    </row>
    <row r="79" spans="4:4">
      <c r="D79" s="2">
        <f t="shared" si="2"/>
        <v>0</v>
      </c>
    </row>
    <row r="80" spans="4:4">
      <c r="D80" s="2">
        <f t="shared" si="2"/>
        <v>0</v>
      </c>
    </row>
    <row r="81" spans="4:4">
      <c r="D81" s="2">
        <f t="shared" si="2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80"/>
  <sheetViews>
    <sheetView workbookViewId="0">
      <selection activeCell="A28" sqref="$A28:$XFD28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27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9">
      <c r="A4" s="8">
        <v>43269</v>
      </c>
      <c r="B4" s="2" t="s">
        <v>27</v>
      </c>
      <c r="C4" s="2">
        <v>76</v>
      </c>
      <c r="D4" s="2">
        <f>C4/8</f>
        <v>9.5</v>
      </c>
      <c r="E4" s="2">
        <v>1.4</v>
      </c>
      <c r="F4" s="2" t="s">
        <v>39</v>
      </c>
      <c r="I4" s="2" t="s">
        <v>44</v>
      </c>
    </row>
    <row r="5" spans="1:4">
      <c r="A5" s="8">
        <v>43318</v>
      </c>
      <c r="B5" s="2" t="s">
        <v>27</v>
      </c>
      <c r="C5" s="2">
        <v>-8</v>
      </c>
      <c r="D5" s="2">
        <f t="shared" ref="D5:D68" si="0">C5/8</f>
        <v>-1</v>
      </c>
    </row>
    <row r="6" spans="1:4">
      <c r="A6" s="8">
        <v>43325</v>
      </c>
      <c r="B6" s="2" t="s">
        <v>27</v>
      </c>
      <c r="C6" s="2">
        <v>-16</v>
      </c>
      <c r="D6" s="2">
        <f t="shared" si="0"/>
        <v>-2</v>
      </c>
    </row>
    <row r="7" spans="1:4">
      <c r="A7" s="8">
        <v>43332</v>
      </c>
      <c r="B7" s="2" t="s">
        <v>27</v>
      </c>
      <c r="C7" s="2">
        <v>0.5</v>
      </c>
      <c r="D7" s="2">
        <f t="shared" si="0"/>
        <v>0.0625</v>
      </c>
    </row>
    <row r="8" spans="1:4">
      <c r="A8" s="8">
        <v>43332</v>
      </c>
      <c r="B8" s="2" t="s">
        <v>26</v>
      </c>
      <c r="C8" s="2">
        <v>-15.2</v>
      </c>
      <c r="D8" s="2">
        <f t="shared" si="0"/>
        <v>-1.9</v>
      </c>
    </row>
    <row r="9" spans="1:4">
      <c r="A9" s="8">
        <v>43362</v>
      </c>
      <c r="B9" s="2" t="s">
        <v>27</v>
      </c>
      <c r="C9" s="2">
        <v>0.25</v>
      </c>
      <c r="D9" s="2">
        <f t="shared" si="0"/>
        <v>0.03125</v>
      </c>
    </row>
    <row r="10" spans="1:4">
      <c r="A10" s="8">
        <v>43371</v>
      </c>
      <c r="B10" s="2" t="s">
        <v>28</v>
      </c>
      <c r="C10" s="2">
        <v>0.5</v>
      </c>
      <c r="D10" s="2">
        <f t="shared" si="0"/>
        <v>0.0625</v>
      </c>
    </row>
    <row r="11" spans="1:4">
      <c r="A11" s="8">
        <v>43389</v>
      </c>
      <c r="B11" s="2" t="s">
        <v>28</v>
      </c>
      <c r="C11" s="2">
        <v>0.5</v>
      </c>
      <c r="D11" s="2">
        <f t="shared" si="0"/>
        <v>0.0625</v>
      </c>
    </row>
    <row r="12" spans="1:4">
      <c r="A12" s="8">
        <v>43418</v>
      </c>
      <c r="B12" s="2" t="s">
        <v>28</v>
      </c>
      <c r="C12" s="2">
        <v>0.5</v>
      </c>
      <c r="D12" s="2">
        <f t="shared" si="0"/>
        <v>0.0625</v>
      </c>
    </row>
    <row r="13" spans="1:4">
      <c r="A13" s="8">
        <v>43476</v>
      </c>
      <c r="B13" s="2" t="s">
        <v>28</v>
      </c>
      <c r="C13" s="2">
        <v>0.25</v>
      </c>
      <c r="D13" s="2">
        <f t="shared" si="0"/>
        <v>0.03125</v>
      </c>
    </row>
    <row r="14" spans="1:4">
      <c r="A14" s="8">
        <v>43489</v>
      </c>
      <c r="B14" s="2" t="s">
        <v>28</v>
      </c>
      <c r="C14" s="2">
        <v>0.5</v>
      </c>
      <c r="D14" s="2">
        <f t="shared" si="0"/>
        <v>0.0625</v>
      </c>
    </row>
    <row r="15" spans="1:4">
      <c r="A15" s="8">
        <v>43493</v>
      </c>
      <c r="B15" s="2" t="s">
        <v>28</v>
      </c>
      <c r="C15" s="2">
        <v>0.25</v>
      </c>
      <c r="D15" s="2">
        <f t="shared" si="0"/>
        <v>0.03125</v>
      </c>
    </row>
    <row r="16" spans="1:4">
      <c r="A16" s="8">
        <v>43513</v>
      </c>
      <c r="B16" s="2" t="s">
        <v>27</v>
      </c>
      <c r="C16" s="2">
        <v>0.5</v>
      </c>
      <c r="D16" s="2">
        <f t="shared" si="0"/>
        <v>0.0625</v>
      </c>
    </row>
    <row r="17" spans="1:4">
      <c r="A17" s="8">
        <v>43520</v>
      </c>
      <c r="B17" s="2" t="s">
        <v>29</v>
      </c>
      <c r="C17" s="2">
        <v>0.25</v>
      </c>
      <c r="D17" s="2">
        <f t="shared" si="0"/>
        <v>0.03125</v>
      </c>
    </row>
    <row r="18" spans="1:4">
      <c r="A18" s="8">
        <v>43523</v>
      </c>
      <c r="B18" s="2" t="s">
        <v>29</v>
      </c>
      <c r="C18" s="2">
        <v>0.25</v>
      </c>
      <c r="D18" s="2">
        <f t="shared" si="0"/>
        <v>0.03125</v>
      </c>
    </row>
    <row r="19" spans="1:4">
      <c r="A19" s="8">
        <v>43536</v>
      </c>
      <c r="B19" s="2" t="s">
        <v>29</v>
      </c>
      <c r="C19" s="2">
        <v>0.25</v>
      </c>
      <c r="D19" s="2">
        <f t="shared" si="0"/>
        <v>0.03125</v>
      </c>
    </row>
    <row r="20" spans="1:4">
      <c r="A20" s="8">
        <v>43549</v>
      </c>
      <c r="B20" s="2" t="s">
        <v>29</v>
      </c>
      <c r="C20" s="2">
        <v>0.5</v>
      </c>
      <c r="D20" s="2">
        <f t="shared" si="0"/>
        <v>0.0625</v>
      </c>
    </row>
    <row r="21" spans="1:4">
      <c r="A21" s="8">
        <v>43550</v>
      </c>
      <c r="B21" s="2" t="s">
        <v>29</v>
      </c>
      <c r="C21" s="2">
        <v>0.5</v>
      </c>
      <c r="D21" s="2">
        <f t="shared" si="0"/>
        <v>0.0625</v>
      </c>
    </row>
    <row r="22" spans="1:4">
      <c r="A22" s="8">
        <v>43551</v>
      </c>
      <c r="B22" s="2" t="s">
        <v>29</v>
      </c>
      <c r="C22" s="2">
        <v>0.5</v>
      </c>
      <c r="D22" s="2">
        <f t="shared" si="0"/>
        <v>0.0625</v>
      </c>
    </row>
    <row r="23" spans="1:4">
      <c r="A23" s="8">
        <v>43552</v>
      </c>
      <c r="B23" s="2" t="s">
        <v>29</v>
      </c>
      <c r="C23" s="2">
        <v>10</v>
      </c>
      <c r="D23" s="2">
        <f t="shared" si="0"/>
        <v>1.25</v>
      </c>
    </row>
    <row r="24" spans="1:4">
      <c r="A24" s="8">
        <v>43558</v>
      </c>
      <c r="B24" s="2" t="s">
        <v>29</v>
      </c>
      <c r="C24" s="2">
        <v>0.5</v>
      </c>
      <c r="D24" s="2">
        <f t="shared" si="0"/>
        <v>0.0625</v>
      </c>
    </row>
    <row r="25" spans="1:4">
      <c r="A25" s="8">
        <v>43564</v>
      </c>
      <c r="B25" s="2" t="s">
        <v>27</v>
      </c>
      <c r="C25" s="2">
        <v>0.25</v>
      </c>
      <c r="D25" s="2">
        <f t="shared" si="0"/>
        <v>0.03125</v>
      </c>
    </row>
    <row r="26" spans="1:4">
      <c r="A26" s="8">
        <v>43566</v>
      </c>
      <c r="B26" s="2" t="s">
        <v>27</v>
      </c>
      <c r="C26" s="2">
        <v>0.25</v>
      </c>
      <c r="D26" s="2">
        <f t="shared" si="0"/>
        <v>0.03125</v>
      </c>
    </row>
    <row r="27" spans="1:4">
      <c r="A27" s="8">
        <v>43570</v>
      </c>
      <c r="B27" s="2" t="s">
        <v>29</v>
      </c>
      <c r="C27" s="2">
        <v>0.5</v>
      </c>
      <c r="D27" s="2">
        <f t="shared" si="0"/>
        <v>0.0625</v>
      </c>
    </row>
    <row r="28" spans="1:4">
      <c r="A28" s="8">
        <v>43572</v>
      </c>
      <c r="B28" s="2" t="s">
        <v>29</v>
      </c>
      <c r="C28" s="2">
        <v>0.5</v>
      </c>
      <c r="D28" s="2">
        <f t="shared" si="0"/>
        <v>0.0625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si="0"/>
        <v>0</v>
      </c>
    </row>
    <row r="69" spans="4:4">
      <c r="D69" s="2">
        <f t="shared" ref="D69:D80" si="1">C69/8</f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  <row r="80" spans="4:4">
      <c r="D80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79"/>
  <sheetViews>
    <sheetView workbookViewId="0">
      <selection activeCell="A9" sqref="$A9:$XFD9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28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9">
      <c r="A4" s="8">
        <v>43253</v>
      </c>
      <c r="B4" s="2" t="s">
        <v>27</v>
      </c>
      <c r="C4" s="2">
        <v>65</v>
      </c>
      <c r="D4" s="2">
        <f t="shared" ref="D4:D67" si="0">C4/8</f>
        <v>8.125</v>
      </c>
      <c r="I4" s="2" t="s">
        <v>45</v>
      </c>
    </row>
    <row r="5" spans="1:4">
      <c r="A5" s="8">
        <v>43318</v>
      </c>
      <c r="B5" s="2" t="s">
        <v>27</v>
      </c>
      <c r="C5" s="2">
        <v>-8</v>
      </c>
      <c r="D5" s="2">
        <f t="shared" si="0"/>
        <v>-1</v>
      </c>
    </row>
    <row r="6" spans="1:4">
      <c r="A6" s="8">
        <v>43332</v>
      </c>
      <c r="B6" s="2" t="s">
        <v>26</v>
      </c>
      <c r="C6" s="2">
        <v>-15.2</v>
      </c>
      <c r="D6" s="2">
        <f t="shared" si="0"/>
        <v>-1.9</v>
      </c>
    </row>
    <row r="7" spans="1:4">
      <c r="A7" s="8">
        <v>43488</v>
      </c>
      <c r="B7" s="2" t="s">
        <v>28</v>
      </c>
      <c r="C7" s="2">
        <v>0.25</v>
      </c>
      <c r="D7" s="2">
        <f t="shared" si="0"/>
        <v>0.03125</v>
      </c>
    </row>
    <row r="8" spans="1:4">
      <c r="A8" s="8">
        <v>43513</v>
      </c>
      <c r="B8" s="2" t="s">
        <v>27</v>
      </c>
      <c r="C8" s="2">
        <v>0.5</v>
      </c>
      <c r="D8" s="2">
        <f t="shared" si="0"/>
        <v>0.0625</v>
      </c>
    </row>
    <row r="9" spans="4:4">
      <c r="D9" s="2">
        <f t="shared" si="0"/>
        <v>0</v>
      </c>
    </row>
    <row r="10" spans="4:4">
      <c r="D10" s="2">
        <f t="shared" si="0"/>
        <v>0</v>
      </c>
    </row>
    <row r="11" spans="4:4">
      <c r="D11" s="2">
        <f t="shared" si="0"/>
        <v>0</v>
      </c>
    </row>
    <row r="12" spans="4:4">
      <c r="D12" s="2">
        <f t="shared" si="0"/>
        <v>0</v>
      </c>
    </row>
    <row r="13" spans="4:4">
      <c r="D13" s="2">
        <f t="shared" si="0"/>
        <v>0</v>
      </c>
    </row>
    <row r="14" spans="4:4">
      <c r="D14" s="2">
        <f t="shared" si="0"/>
        <v>0</v>
      </c>
    </row>
    <row r="15" spans="1:4">
      <c r="A15" s="8"/>
      <c r="D15" s="2">
        <f t="shared" si="0"/>
        <v>0</v>
      </c>
    </row>
    <row r="16" spans="1:4">
      <c r="A16" s="8"/>
      <c r="D16" s="2">
        <f t="shared" si="0"/>
        <v>0</v>
      </c>
    </row>
    <row r="17" spans="1:4">
      <c r="A17" s="8"/>
      <c r="D17" s="2">
        <f t="shared" si="0"/>
        <v>0</v>
      </c>
    </row>
    <row r="18" spans="4:4">
      <c r="D18" s="2">
        <f t="shared" si="0"/>
        <v>0</v>
      </c>
    </row>
    <row r="19" spans="4:4">
      <c r="D19" s="2">
        <f t="shared" si="0"/>
        <v>0</v>
      </c>
    </row>
    <row r="20" spans="4:4">
      <c r="D20" s="2">
        <f t="shared" si="0"/>
        <v>0</v>
      </c>
    </row>
    <row r="21" spans="4:4">
      <c r="D21" s="2">
        <f t="shared" si="0"/>
        <v>0</v>
      </c>
    </row>
    <row r="22" spans="4:4">
      <c r="D22" s="2">
        <f t="shared" si="0"/>
        <v>0</v>
      </c>
    </row>
    <row r="23" spans="4:4">
      <c r="D23" s="2">
        <f t="shared" si="0"/>
        <v>0</v>
      </c>
    </row>
    <row r="24" spans="4:4">
      <c r="D24" s="2">
        <f t="shared" si="0"/>
        <v>0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ref="D68:D79" si="1">C68/8</f>
        <v>0</v>
      </c>
    </row>
    <row r="69" spans="4:4">
      <c r="D69" s="2">
        <f t="shared" si="1"/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80"/>
  <sheetViews>
    <sheetView workbookViewId="0">
      <selection activeCell="A11" sqref="$A11:$XFD11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29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9">
      <c r="A4" s="8">
        <v>43269</v>
      </c>
      <c r="B4" s="2" t="s">
        <v>27</v>
      </c>
      <c r="C4" s="2">
        <v>82</v>
      </c>
      <c r="D4" s="2">
        <f>C4/8</f>
        <v>10.25</v>
      </c>
      <c r="E4" s="2">
        <v>1.4</v>
      </c>
      <c r="F4" s="2" t="s">
        <v>39</v>
      </c>
      <c r="I4" s="2" t="s">
        <v>40</v>
      </c>
    </row>
    <row r="5" spans="1:4">
      <c r="A5" s="8">
        <v>43319</v>
      </c>
      <c r="B5" s="2" t="s">
        <v>25</v>
      </c>
      <c r="C5" s="2">
        <v>-20</v>
      </c>
      <c r="D5" s="2">
        <f t="shared" ref="D5:D68" si="0">C5/8</f>
        <v>-2.5</v>
      </c>
    </row>
    <row r="6" spans="1:4">
      <c r="A6" s="8">
        <v>43332</v>
      </c>
      <c r="B6" s="2" t="s">
        <v>26</v>
      </c>
      <c r="C6" s="2">
        <v>-15.2</v>
      </c>
      <c r="D6" s="2">
        <f t="shared" si="0"/>
        <v>-1.9</v>
      </c>
    </row>
    <row r="7" spans="1:4">
      <c r="A7" s="8">
        <v>43513</v>
      </c>
      <c r="B7" s="2" t="s">
        <v>27</v>
      </c>
      <c r="C7" s="2">
        <v>0.25</v>
      </c>
      <c r="D7" s="2">
        <f t="shared" si="0"/>
        <v>0.03125</v>
      </c>
    </row>
    <row r="8" spans="1:4">
      <c r="A8" s="8">
        <v>43516</v>
      </c>
      <c r="B8" s="2" t="s">
        <v>27</v>
      </c>
      <c r="C8" s="2">
        <v>0.25</v>
      </c>
      <c r="D8" s="2">
        <f t="shared" si="0"/>
        <v>0.03125</v>
      </c>
    </row>
    <row r="9" spans="1:4">
      <c r="A9" s="8">
        <v>43520</v>
      </c>
      <c r="B9" s="2" t="s">
        <v>29</v>
      </c>
      <c r="C9" s="2">
        <v>0.25</v>
      </c>
      <c r="D9" s="2">
        <f t="shared" si="0"/>
        <v>0.03125</v>
      </c>
    </row>
    <row r="10" spans="1:4">
      <c r="A10" s="8">
        <v>43564</v>
      </c>
      <c r="B10" s="2" t="s">
        <v>27</v>
      </c>
      <c r="C10" s="2">
        <v>0.25</v>
      </c>
      <c r="D10" s="2">
        <f t="shared" si="0"/>
        <v>0.03125</v>
      </c>
    </row>
    <row r="11" spans="1:4">
      <c r="A11" s="8">
        <v>43566</v>
      </c>
      <c r="B11" s="2" t="s">
        <v>27</v>
      </c>
      <c r="C11" s="2">
        <v>0.5</v>
      </c>
      <c r="D11" s="2">
        <f t="shared" si="0"/>
        <v>0.0625</v>
      </c>
    </row>
    <row r="12" spans="4:4">
      <c r="D12" s="2">
        <f t="shared" si="0"/>
        <v>0</v>
      </c>
    </row>
    <row r="13" spans="4:4">
      <c r="D13" s="2">
        <f t="shared" si="0"/>
        <v>0</v>
      </c>
    </row>
    <row r="14" spans="4:4">
      <c r="D14" s="2">
        <f t="shared" si="0"/>
        <v>0</v>
      </c>
    </row>
    <row r="15" spans="4:4">
      <c r="D15" s="2">
        <f t="shared" si="0"/>
        <v>0</v>
      </c>
    </row>
    <row r="16" spans="1:4">
      <c r="A16" s="8"/>
      <c r="D16" s="2">
        <f t="shared" si="0"/>
        <v>0</v>
      </c>
    </row>
    <row r="17" spans="1:4">
      <c r="A17" s="8"/>
      <c r="D17" s="2">
        <f t="shared" si="0"/>
        <v>0</v>
      </c>
    </row>
    <row r="18" spans="1:4">
      <c r="A18" s="8"/>
      <c r="D18" s="2">
        <f t="shared" si="0"/>
        <v>0</v>
      </c>
    </row>
    <row r="19" spans="4:4">
      <c r="D19" s="2">
        <f t="shared" si="0"/>
        <v>0</v>
      </c>
    </row>
    <row r="20" spans="4:4">
      <c r="D20" s="2">
        <f t="shared" si="0"/>
        <v>0</v>
      </c>
    </row>
    <row r="21" spans="4:4">
      <c r="D21" s="2">
        <f t="shared" si="0"/>
        <v>0</v>
      </c>
    </row>
    <row r="22" spans="4:4">
      <c r="D22" s="2">
        <f t="shared" si="0"/>
        <v>0</v>
      </c>
    </row>
    <row r="23" spans="4:4">
      <c r="D23" s="2">
        <f t="shared" si="0"/>
        <v>0</v>
      </c>
    </row>
    <row r="24" spans="4:4">
      <c r="D24" s="2">
        <f t="shared" si="0"/>
        <v>0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si="0"/>
        <v>0</v>
      </c>
    </row>
    <row r="69" spans="4:4">
      <c r="D69" s="2">
        <f t="shared" ref="D69:D80" si="1">C69/8</f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  <row r="80" spans="4:4">
      <c r="D80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80"/>
  <sheetViews>
    <sheetView workbookViewId="0">
      <selection activeCell="A18" sqref="$A18:$XFD18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30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9">
      <c r="A4" s="8">
        <v>43269</v>
      </c>
      <c r="B4" s="2" t="s">
        <v>27</v>
      </c>
      <c r="C4" s="2">
        <v>72</v>
      </c>
      <c r="D4" s="2">
        <f>C4/8</f>
        <v>9</v>
      </c>
      <c r="E4" s="2">
        <v>1.5</v>
      </c>
      <c r="F4" s="2" t="s">
        <v>39</v>
      </c>
      <c r="I4" s="2" t="s">
        <v>46</v>
      </c>
    </row>
    <row r="5" spans="1:4">
      <c r="A5" s="8">
        <v>43318</v>
      </c>
      <c r="B5" s="2" t="s">
        <v>27</v>
      </c>
      <c r="C5" s="2">
        <v>-8</v>
      </c>
      <c r="D5" s="2">
        <f t="shared" ref="D5:D68" si="0">C5/8</f>
        <v>-1</v>
      </c>
    </row>
    <row r="6" spans="1:4">
      <c r="A6" s="8">
        <v>43332</v>
      </c>
      <c r="B6" s="2" t="s">
        <v>27</v>
      </c>
      <c r="C6" s="2">
        <v>0.5</v>
      </c>
      <c r="D6" s="2">
        <f t="shared" si="0"/>
        <v>0.0625</v>
      </c>
    </row>
    <row r="7" spans="1:4">
      <c r="A7" s="8">
        <v>43332</v>
      </c>
      <c r="B7" s="2" t="s">
        <v>26</v>
      </c>
      <c r="C7" s="2">
        <v>-15.2</v>
      </c>
      <c r="D7" s="2">
        <f t="shared" si="0"/>
        <v>-1.9</v>
      </c>
    </row>
    <row r="8" spans="1:4">
      <c r="A8" s="8">
        <v>43362</v>
      </c>
      <c r="B8" s="2" t="s">
        <v>27</v>
      </c>
      <c r="C8" s="2">
        <v>1</v>
      </c>
      <c r="D8" s="2">
        <f t="shared" si="0"/>
        <v>0.125</v>
      </c>
    </row>
    <row r="9" spans="1:4">
      <c r="A9" s="8">
        <v>43389</v>
      </c>
      <c r="B9" s="2" t="s">
        <v>28</v>
      </c>
      <c r="C9" s="2">
        <v>0.5</v>
      </c>
      <c r="D9" s="2">
        <f t="shared" si="0"/>
        <v>0.0625</v>
      </c>
    </row>
    <row r="10" spans="1:4">
      <c r="A10" s="8">
        <v>43418</v>
      </c>
      <c r="B10" s="2" t="s">
        <v>28</v>
      </c>
      <c r="C10" s="2">
        <v>0.5</v>
      </c>
      <c r="D10" s="2">
        <f t="shared" si="0"/>
        <v>0.0625</v>
      </c>
    </row>
    <row r="11" spans="1:4">
      <c r="A11" s="8">
        <v>43513</v>
      </c>
      <c r="B11" s="2" t="s">
        <v>27</v>
      </c>
      <c r="C11" s="2">
        <v>0.5</v>
      </c>
      <c r="D11" s="2">
        <f t="shared" si="0"/>
        <v>0.0625</v>
      </c>
    </row>
    <row r="12" spans="1:4">
      <c r="A12" s="8">
        <v>43516</v>
      </c>
      <c r="B12" s="2" t="s">
        <v>27</v>
      </c>
      <c r="C12" s="2">
        <v>0.25</v>
      </c>
      <c r="D12" s="2">
        <f t="shared" si="0"/>
        <v>0.03125</v>
      </c>
    </row>
    <row r="13" spans="1:4">
      <c r="A13" s="8">
        <v>43520</v>
      </c>
      <c r="B13" s="2" t="s">
        <v>29</v>
      </c>
      <c r="C13" s="2">
        <v>0.25</v>
      </c>
      <c r="D13" s="2">
        <f t="shared" si="0"/>
        <v>0.03125</v>
      </c>
    </row>
    <row r="14" spans="1:4">
      <c r="A14" s="8">
        <v>43523</v>
      </c>
      <c r="B14" s="2" t="s">
        <v>29</v>
      </c>
      <c r="C14" s="2">
        <v>0.25</v>
      </c>
      <c r="D14" s="2">
        <f t="shared" si="0"/>
        <v>0.03125</v>
      </c>
    </row>
    <row r="15" spans="1:4">
      <c r="A15" s="8">
        <v>43536</v>
      </c>
      <c r="B15" s="2" t="s">
        <v>29</v>
      </c>
      <c r="C15" s="2">
        <v>0.25</v>
      </c>
      <c r="D15" s="2">
        <f t="shared" si="0"/>
        <v>0.03125</v>
      </c>
    </row>
    <row r="16" spans="1:4">
      <c r="A16" s="8">
        <v>43549</v>
      </c>
      <c r="B16" s="2" t="s">
        <v>29</v>
      </c>
      <c r="C16" s="2">
        <v>0.5</v>
      </c>
      <c r="D16" s="2">
        <f t="shared" si="0"/>
        <v>0.0625</v>
      </c>
    </row>
    <row r="17" spans="1:4">
      <c r="A17" s="8">
        <v>43564</v>
      </c>
      <c r="B17" s="2" t="s">
        <v>27</v>
      </c>
      <c r="C17" s="2">
        <v>0.5</v>
      </c>
      <c r="D17" s="2">
        <f t="shared" si="0"/>
        <v>0.0625</v>
      </c>
    </row>
    <row r="18" spans="1:4">
      <c r="A18" s="8">
        <v>43566</v>
      </c>
      <c r="B18" s="2" t="s">
        <v>27</v>
      </c>
      <c r="C18" s="2">
        <v>0.5</v>
      </c>
      <c r="D18" s="2">
        <f t="shared" si="0"/>
        <v>0.0625</v>
      </c>
    </row>
    <row r="19" spans="4:4">
      <c r="D19" s="2">
        <f t="shared" si="0"/>
        <v>0</v>
      </c>
    </row>
    <row r="20" spans="4:4">
      <c r="D20" s="2">
        <f t="shared" si="0"/>
        <v>0</v>
      </c>
    </row>
    <row r="21" spans="4:4">
      <c r="D21" s="2">
        <f t="shared" si="0"/>
        <v>0</v>
      </c>
    </row>
    <row r="22" spans="4:4">
      <c r="D22" s="2">
        <f t="shared" si="0"/>
        <v>0</v>
      </c>
    </row>
    <row r="23" spans="4:4">
      <c r="D23" s="2">
        <f t="shared" si="0"/>
        <v>0</v>
      </c>
    </row>
    <row r="24" spans="4:4">
      <c r="D24" s="2">
        <f t="shared" si="0"/>
        <v>0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si="0"/>
        <v>0</v>
      </c>
    </row>
    <row r="69" spans="4:4">
      <c r="D69" s="2">
        <f t="shared" ref="D69:D80" si="1">C69/8</f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  <row r="80" spans="4:4">
      <c r="D80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80"/>
  <sheetViews>
    <sheetView workbookViewId="0">
      <selection activeCell="A26" sqref="$A26:$XFD26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31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9">
      <c r="A4" s="8">
        <v>43269</v>
      </c>
      <c r="B4" s="2" t="s">
        <v>27</v>
      </c>
      <c r="C4" s="2">
        <v>76</v>
      </c>
      <c r="D4" s="2">
        <f>C4/8</f>
        <v>9.5</v>
      </c>
      <c r="E4" s="2">
        <v>1.4</v>
      </c>
      <c r="I4" s="2" t="s">
        <v>40</v>
      </c>
    </row>
    <row r="5" spans="1:4">
      <c r="A5" s="8">
        <v>43318</v>
      </c>
      <c r="B5" s="2" t="s">
        <v>27</v>
      </c>
      <c r="C5" s="2">
        <v>-20</v>
      </c>
      <c r="D5" s="2">
        <f t="shared" ref="D5:D68" si="0">C5/8</f>
        <v>-2.5</v>
      </c>
    </row>
    <row r="6" spans="1:4">
      <c r="A6" s="8">
        <v>43325</v>
      </c>
      <c r="B6" s="2" t="s">
        <v>27</v>
      </c>
      <c r="C6" s="2">
        <v>-8</v>
      </c>
      <c r="D6" s="2">
        <f t="shared" si="0"/>
        <v>-1</v>
      </c>
    </row>
    <row r="7" spans="1:4">
      <c r="A7" s="8">
        <v>43332</v>
      </c>
      <c r="B7" s="2" t="s">
        <v>27</v>
      </c>
      <c r="C7" s="2">
        <v>0.5</v>
      </c>
      <c r="D7" s="2">
        <f t="shared" si="0"/>
        <v>0.0625</v>
      </c>
    </row>
    <row r="8" spans="1:4">
      <c r="A8" s="8">
        <v>43332</v>
      </c>
      <c r="B8" s="2" t="s">
        <v>26</v>
      </c>
      <c r="C8" s="2">
        <v>-15.2</v>
      </c>
      <c r="D8" s="2">
        <f t="shared" si="0"/>
        <v>-1.9</v>
      </c>
    </row>
    <row r="9" spans="1:4">
      <c r="A9" s="8">
        <v>43362</v>
      </c>
      <c r="B9" s="2" t="s">
        <v>27</v>
      </c>
      <c r="C9" s="2">
        <v>0.25</v>
      </c>
      <c r="D9" s="2">
        <f t="shared" si="0"/>
        <v>0.03125</v>
      </c>
    </row>
    <row r="10" spans="1:4">
      <c r="A10" s="8">
        <v>43418</v>
      </c>
      <c r="B10" s="2" t="s">
        <v>28</v>
      </c>
      <c r="C10" s="2">
        <v>0.5</v>
      </c>
      <c r="D10" s="2">
        <f t="shared" si="0"/>
        <v>0.0625</v>
      </c>
    </row>
    <row r="11" spans="1:4">
      <c r="A11" s="8">
        <v>43489</v>
      </c>
      <c r="B11" s="2" t="s">
        <v>28</v>
      </c>
      <c r="C11" s="2">
        <v>0.25</v>
      </c>
      <c r="D11" s="2">
        <f t="shared" si="0"/>
        <v>0.03125</v>
      </c>
    </row>
    <row r="12" spans="1:4">
      <c r="A12" s="8">
        <v>43493</v>
      </c>
      <c r="B12" s="2" t="s">
        <v>28</v>
      </c>
      <c r="C12" s="2">
        <v>0.25</v>
      </c>
      <c r="D12" s="2">
        <f t="shared" si="0"/>
        <v>0.03125</v>
      </c>
    </row>
    <row r="13" spans="1:4">
      <c r="A13" s="8">
        <v>43513</v>
      </c>
      <c r="B13" s="2" t="s">
        <v>27</v>
      </c>
      <c r="C13" s="2">
        <v>0.5</v>
      </c>
      <c r="D13" s="2">
        <f t="shared" si="0"/>
        <v>0.0625</v>
      </c>
    </row>
    <row r="14" spans="1:4">
      <c r="A14" s="8">
        <v>43516</v>
      </c>
      <c r="B14" s="2" t="s">
        <v>27</v>
      </c>
      <c r="C14" s="2">
        <v>0.25</v>
      </c>
      <c r="D14" s="2">
        <f t="shared" si="0"/>
        <v>0.03125</v>
      </c>
    </row>
    <row r="15" spans="1:4">
      <c r="A15" s="8">
        <v>43520</v>
      </c>
      <c r="B15" s="2" t="s">
        <v>29</v>
      </c>
      <c r="C15" s="2">
        <v>0.25</v>
      </c>
      <c r="D15" s="2">
        <f t="shared" si="0"/>
        <v>0.03125</v>
      </c>
    </row>
    <row r="16" spans="1:4">
      <c r="A16" s="8">
        <v>43523</v>
      </c>
      <c r="B16" s="2" t="s">
        <v>29</v>
      </c>
      <c r="C16" s="2">
        <v>0.25</v>
      </c>
      <c r="D16" s="2">
        <f t="shared" si="0"/>
        <v>0.03125</v>
      </c>
    </row>
    <row r="17" spans="1:4">
      <c r="A17" s="8">
        <v>43536</v>
      </c>
      <c r="B17" s="2" t="s">
        <v>29</v>
      </c>
      <c r="C17" s="2">
        <v>0.25</v>
      </c>
      <c r="D17" s="2">
        <f t="shared" si="0"/>
        <v>0.03125</v>
      </c>
    </row>
    <row r="18" spans="1:4">
      <c r="A18" s="8">
        <v>43549</v>
      </c>
      <c r="B18" s="2" t="s">
        <v>29</v>
      </c>
      <c r="C18" s="2">
        <v>0.5</v>
      </c>
      <c r="D18" s="2">
        <f t="shared" si="0"/>
        <v>0.0625</v>
      </c>
    </row>
    <row r="19" spans="1:4">
      <c r="A19" s="8">
        <v>43550</v>
      </c>
      <c r="B19" s="2" t="s">
        <v>29</v>
      </c>
      <c r="C19" s="2">
        <v>0.5</v>
      </c>
      <c r="D19" s="2">
        <f t="shared" si="0"/>
        <v>0.0625</v>
      </c>
    </row>
    <row r="20" spans="1:4">
      <c r="A20" s="8">
        <v>43551</v>
      </c>
      <c r="B20" s="2" t="s">
        <v>29</v>
      </c>
      <c r="C20" s="2">
        <v>0.5</v>
      </c>
      <c r="D20" s="2">
        <f t="shared" si="0"/>
        <v>0.0625</v>
      </c>
    </row>
    <row r="21" spans="1:4">
      <c r="A21" s="8">
        <v>43552</v>
      </c>
      <c r="B21" s="2" t="s">
        <v>29</v>
      </c>
      <c r="C21" s="2">
        <v>0.5</v>
      </c>
      <c r="D21" s="2">
        <f t="shared" si="0"/>
        <v>0.0625</v>
      </c>
    </row>
    <row r="22" spans="1:4">
      <c r="A22" s="8">
        <v>43558</v>
      </c>
      <c r="B22" s="2" t="s">
        <v>29</v>
      </c>
      <c r="C22" s="2">
        <v>0.5</v>
      </c>
      <c r="D22" s="2">
        <f t="shared" si="0"/>
        <v>0.0625</v>
      </c>
    </row>
    <row r="23" spans="1:4">
      <c r="A23" s="8">
        <v>43564</v>
      </c>
      <c r="B23" s="2" t="s">
        <v>27</v>
      </c>
      <c r="C23" s="2">
        <v>0.25</v>
      </c>
      <c r="D23" s="2">
        <f t="shared" si="0"/>
        <v>0.03125</v>
      </c>
    </row>
    <row r="24" spans="1:4">
      <c r="A24" s="8">
        <v>43566</v>
      </c>
      <c r="B24" s="2" t="s">
        <v>27</v>
      </c>
      <c r="C24" s="2">
        <v>0.25</v>
      </c>
      <c r="D24" s="2">
        <f t="shared" si="0"/>
        <v>0.03125</v>
      </c>
    </row>
    <row r="25" spans="1:4">
      <c r="A25" s="8">
        <v>43570</v>
      </c>
      <c r="B25" s="2" t="s">
        <v>29</v>
      </c>
      <c r="C25" s="2">
        <v>0.5</v>
      </c>
      <c r="D25" s="2">
        <f t="shared" si="0"/>
        <v>0.0625</v>
      </c>
    </row>
    <row r="26" spans="1:4">
      <c r="A26" s="8">
        <v>43572</v>
      </c>
      <c r="B26" s="2" t="s">
        <v>29</v>
      </c>
      <c r="C26" s="2">
        <v>0.5</v>
      </c>
      <c r="D26" s="2">
        <f t="shared" si="0"/>
        <v>0.0625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si="0"/>
        <v>0</v>
      </c>
    </row>
    <row r="69" spans="4:4">
      <c r="D69" s="2">
        <f t="shared" ref="D69:D80" si="1">C69/8</f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  <row r="80" spans="4:4">
      <c r="D80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79"/>
  <sheetViews>
    <sheetView workbookViewId="0">
      <selection activeCell="A18" sqref="$A18:$XFD18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32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9">
      <c r="A4" s="8">
        <v>43253</v>
      </c>
      <c r="B4" s="2" t="s">
        <v>27</v>
      </c>
      <c r="C4" s="2">
        <v>56</v>
      </c>
      <c r="D4" s="2">
        <f t="shared" ref="D4:D67" si="0">C4/8</f>
        <v>7</v>
      </c>
      <c r="I4" s="2" t="s">
        <v>47</v>
      </c>
    </row>
    <row r="5" spans="1:4">
      <c r="A5" s="8">
        <v>43332</v>
      </c>
      <c r="B5" s="2" t="s">
        <v>26</v>
      </c>
      <c r="C5" s="2">
        <v>-15.2</v>
      </c>
      <c r="D5" s="2">
        <f t="shared" si="0"/>
        <v>-1.9</v>
      </c>
    </row>
    <row r="6" spans="1:4">
      <c r="A6" s="8">
        <v>43362</v>
      </c>
      <c r="B6" s="2" t="s">
        <v>27</v>
      </c>
      <c r="C6" s="2">
        <v>16</v>
      </c>
      <c r="D6" s="2">
        <f t="shared" si="0"/>
        <v>2</v>
      </c>
    </row>
    <row r="7" spans="1:4">
      <c r="A7" s="8">
        <v>43418</v>
      </c>
      <c r="B7" s="2" t="s">
        <v>28</v>
      </c>
      <c r="C7" s="2">
        <v>0.25</v>
      </c>
      <c r="D7" s="2">
        <f t="shared" si="0"/>
        <v>0.03125</v>
      </c>
    </row>
    <row r="8" spans="1:4">
      <c r="A8" s="8">
        <v>43513</v>
      </c>
      <c r="B8" s="2" t="s">
        <v>27</v>
      </c>
      <c r="C8" s="2">
        <v>1</v>
      </c>
      <c r="D8" s="2">
        <f t="shared" si="0"/>
        <v>0.125</v>
      </c>
    </row>
    <row r="9" spans="1:4">
      <c r="A9" s="8">
        <v>43516</v>
      </c>
      <c r="B9" s="2" t="s">
        <v>27</v>
      </c>
      <c r="C9" s="2">
        <v>0.25</v>
      </c>
      <c r="D9" s="2">
        <f t="shared" si="0"/>
        <v>0.03125</v>
      </c>
    </row>
    <row r="10" spans="1:4">
      <c r="A10" s="8">
        <v>43520</v>
      </c>
      <c r="B10" s="2" t="s">
        <v>29</v>
      </c>
      <c r="C10" s="2">
        <v>0.25</v>
      </c>
      <c r="D10" s="2">
        <f t="shared" si="0"/>
        <v>0.03125</v>
      </c>
    </row>
    <row r="11" spans="1:4">
      <c r="A11" s="8">
        <v>43549</v>
      </c>
      <c r="B11" s="2" t="s">
        <v>29</v>
      </c>
      <c r="C11" s="2">
        <v>0.5</v>
      </c>
      <c r="D11" s="2">
        <f t="shared" si="0"/>
        <v>0.0625</v>
      </c>
    </row>
    <row r="12" spans="1:4">
      <c r="A12" s="8">
        <v>43550</v>
      </c>
      <c r="B12" s="2" t="s">
        <v>29</v>
      </c>
      <c r="C12" s="2">
        <v>0.5</v>
      </c>
      <c r="D12" s="2">
        <f t="shared" si="0"/>
        <v>0.0625</v>
      </c>
    </row>
    <row r="13" spans="1:4">
      <c r="A13" s="8">
        <v>43551</v>
      </c>
      <c r="B13" s="2" t="s">
        <v>29</v>
      </c>
      <c r="C13" s="2">
        <v>0.5</v>
      </c>
      <c r="D13" s="2">
        <f t="shared" si="0"/>
        <v>0.0625</v>
      </c>
    </row>
    <row r="14" spans="1:4">
      <c r="A14" s="8">
        <v>43558</v>
      </c>
      <c r="B14" s="2" t="s">
        <v>29</v>
      </c>
      <c r="C14" s="2">
        <v>0.25</v>
      </c>
      <c r="D14" s="2">
        <f t="shared" si="0"/>
        <v>0.03125</v>
      </c>
    </row>
    <row r="15" spans="1:4">
      <c r="A15" s="8">
        <v>43564</v>
      </c>
      <c r="B15" s="2" t="s">
        <v>27</v>
      </c>
      <c r="C15" s="2">
        <v>0.25</v>
      </c>
      <c r="D15" s="2">
        <f t="shared" si="0"/>
        <v>0.03125</v>
      </c>
    </row>
    <row r="16" spans="1:4">
      <c r="A16" s="8">
        <v>43566</v>
      </c>
      <c r="B16" s="2" t="s">
        <v>27</v>
      </c>
      <c r="C16" s="2">
        <v>0.25</v>
      </c>
      <c r="D16" s="2">
        <f t="shared" si="0"/>
        <v>0.03125</v>
      </c>
    </row>
    <row r="17" spans="1:4">
      <c r="A17" s="8">
        <v>43570</v>
      </c>
      <c r="B17" s="2" t="s">
        <v>29</v>
      </c>
      <c r="C17" s="2">
        <v>0.5</v>
      </c>
      <c r="D17" s="2">
        <f t="shared" si="0"/>
        <v>0.0625</v>
      </c>
    </row>
    <row r="18" spans="1:4">
      <c r="A18" s="8">
        <v>43572</v>
      </c>
      <c r="B18" s="2" t="s">
        <v>29</v>
      </c>
      <c r="C18" s="2">
        <v>0.5</v>
      </c>
      <c r="D18" s="2">
        <f t="shared" ref="D18" si="1">C18/8</f>
        <v>0.0625</v>
      </c>
    </row>
    <row r="19" spans="4:4">
      <c r="D19" s="2">
        <f t="shared" si="0"/>
        <v>0</v>
      </c>
    </row>
    <row r="20" spans="4:4">
      <c r="D20" s="2">
        <f t="shared" si="0"/>
        <v>0</v>
      </c>
    </row>
    <row r="21" spans="4:4">
      <c r="D21" s="2">
        <f t="shared" si="0"/>
        <v>0</v>
      </c>
    </row>
    <row r="22" spans="4:4">
      <c r="D22" s="2">
        <f t="shared" si="0"/>
        <v>0</v>
      </c>
    </row>
    <row r="23" spans="4:4">
      <c r="D23" s="2">
        <f t="shared" si="0"/>
        <v>0</v>
      </c>
    </row>
    <row r="24" spans="4:4">
      <c r="D24" s="2">
        <f t="shared" si="0"/>
        <v>0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ref="D68:D79" si="2">C68/8</f>
        <v>0</v>
      </c>
    </row>
    <row r="69" spans="4:4">
      <c r="D69" s="2">
        <f t="shared" si="2"/>
        <v>0</v>
      </c>
    </row>
    <row r="70" spans="4:4">
      <c r="D70" s="2">
        <f t="shared" si="2"/>
        <v>0</v>
      </c>
    </row>
    <row r="71" spans="4:4">
      <c r="D71" s="2">
        <f t="shared" si="2"/>
        <v>0</v>
      </c>
    </row>
    <row r="72" spans="4:4">
      <c r="D72" s="2">
        <f t="shared" si="2"/>
        <v>0</v>
      </c>
    </row>
    <row r="73" spans="4:4">
      <c r="D73" s="2">
        <f t="shared" si="2"/>
        <v>0</v>
      </c>
    </row>
    <row r="74" spans="4:4">
      <c r="D74" s="2">
        <f t="shared" si="2"/>
        <v>0</v>
      </c>
    </row>
    <row r="75" spans="4:4">
      <c r="D75" s="2">
        <f t="shared" si="2"/>
        <v>0</v>
      </c>
    </row>
    <row r="76" spans="4:4">
      <c r="D76" s="2">
        <f t="shared" si="2"/>
        <v>0</v>
      </c>
    </row>
    <row r="77" spans="4:4">
      <c r="D77" s="2">
        <f t="shared" si="2"/>
        <v>0</v>
      </c>
    </row>
    <row r="78" spans="4:4">
      <c r="D78" s="2">
        <f t="shared" si="2"/>
        <v>0</v>
      </c>
    </row>
    <row r="79" spans="4:4">
      <c r="D79" s="2">
        <f t="shared" si="2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80"/>
  <sheetViews>
    <sheetView workbookViewId="0">
      <selection activeCell="A9" sqref="$A9:$XFD9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33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9">
      <c r="A4" s="8">
        <v>43269</v>
      </c>
      <c r="B4" s="2" t="s">
        <v>27</v>
      </c>
      <c r="C4" s="2">
        <v>55</v>
      </c>
      <c r="D4" s="2">
        <f>C4/8</f>
        <v>6.875</v>
      </c>
      <c r="E4" s="2">
        <v>1.2</v>
      </c>
      <c r="F4" s="2" t="s">
        <v>39</v>
      </c>
      <c r="I4" s="2" t="s">
        <v>48</v>
      </c>
    </row>
    <row r="5" spans="1:4">
      <c r="A5" s="8">
        <v>43325</v>
      </c>
      <c r="B5" s="2" t="s">
        <v>27</v>
      </c>
      <c r="C5" s="2">
        <v>-4</v>
      </c>
      <c r="D5" s="2">
        <f t="shared" ref="D5:D68" si="0">C5/8</f>
        <v>-0.5</v>
      </c>
    </row>
    <row r="6" spans="1:4">
      <c r="A6" s="8">
        <v>43332</v>
      </c>
      <c r="B6" s="2" t="s">
        <v>26</v>
      </c>
      <c r="C6" s="2">
        <v>-15.2</v>
      </c>
      <c r="D6" s="2">
        <f t="shared" si="0"/>
        <v>-1.9</v>
      </c>
    </row>
    <row r="7" spans="1:4">
      <c r="A7" s="8">
        <v>43362</v>
      </c>
      <c r="B7" s="2" t="s">
        <v>27</v>
      </c>
      <c r="C7" s="2">
        <v>1</v>
      </c>
      <c r="D7" s="2">
        <f t="shared" si="0"/>
        <v>0.125</v>
      </c>
    </row>
    <row r="8" spans="1:4">
      <c r="A8" s="8">
        <v>43513</v>
      </c>
      <c r="B8" s="2" t="s">
        <v>27</v>
      </c>
      <c r="C8" s="2">
        <v>0.25</v>
      </c>
      <c r="D8" s="2">
        <f t="shared" si="0"/>
        <v>0.03125</v>
      </c>
    </row>
    <row r="9" spans="1:4">
      <c r="A9" s="8">
        <v>43564</v>
      </c>
      <c r="B9" s="2" t="s">
        <v>27</v>
      </c>
      <c r="C9" s="2">
        <v>0.5</v>
      </c>
      <c r="D9" s="2">
        <f t="shared" si="0"/>
        <v>0.0625</v>
      </c>
    </row>
    <row r="10" spans="4:4">
      <c r="D10" s="2">
        <f t="shared" si="0"/>
        <v>0</v>
      </c>
    </row>
    <row r="11" spans="4:4">
      <c r="D11" s="2">
        <f t="shared" si="0"/>
        <v>0</v>
      </c>
    </row>
    <row r="12" spans="4:4">
      <c r="D12" s="2">
        <f t="shared" si="0"/>
        <v>0</v>
      </c>
    </row>
    <row r="13" spans="4:4">
      <c r="D13" s="2">
        <f t="shared" si="0"/>
        <v>0</v>
      </c>
    </row>
    <row r="14" spans="4:4">
      <c r="D14" s="2">
        <f t="shared" si="0"/>
        <v>0</v>
      </c>
    </row>
    <row r="15" spans="4:4">
      <c r="D15" s="2">
        <f t="shared" si="0"/>
        <v>0</v>
      </c>
    </row>
    <row r="16" spans="1:4">
      <c r="A16" s="8"/>
      <c r="D16" s="2">
        <f t="shared" si="0"/>
        <v>0</v>
      </c>
    </row>
    <row r="17" spans="1:4">
      <c r="A17" s="8"/>
      <c r="D17" s="2">
        <f t="shared" si="0"/>
        <v>0</v>
      </c>
    </row>
    <row r="18" spans="1:4">
      <c r="A18" s="8"/>
      <c r="D18" s="2">
        <f t="shared" si="0"/>
        <v>0</v>
      </c>
    </row>
    <row r="19" spans="4:4">
      <c r="D19" s="2">
        <f t="shared" si="0"/>
        <v>0</v>
      </c>
    </row>
    <row r="20" spans="4:4">
      <c r="D20" s="2">
        <f t="shared" si="0"/>
        <v>0</v>
      </c>
    </row>
    <row r="21" spans="4:4">
      <c r="D21" s="2">
        <f t="shared" si="0"/>
        <v>0</v>
      </c>
    </row>
    <row r="22" spans="4:4">
      <c r="D22" s="2">
        <f t="shared" si="0"/>
        <v>0</v>
      </c>
    </row>
    <row r="23" spans="4:4">
      <c r="D23" s="2">
        <f t="shared" si="0"/>
        <v>0</v>
      </c>
    </row>
    <row r="24" spans="4:4">
      <c r="D24" s="2">
        <f t="shared" si="0"/>
        <v>0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si="0"/>
        <v>0</v>
      </c>
    </row>
    <row r="69" spans="4:4">
      <c r="D69" s="2">
        <f t="shared" ref="D69:D80" si="1">C69/8</f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  <row r="80" spans="4:4">
      <c r="D80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80"/>
  <sheetViews>
    <sheetView workbookViewId="0">
      <selection activeCell="A21" sqref="$A21:$XFD21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34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9">
      <c r="A4" s="8">
        <v>43269</v>
      </c>
      <c r="B4" s="2" t="s">
        <v>27</v>
      </c>
      <c r="C4" s="2">
        <v>57</v>
      </c>
      <c r="D4" s="2">
        <f>C4/8</f>
        <v>7.125</v>
      </c>
      <c r="E4" s="2">
        <v>1.3</v>
      </c>
      <c r="F4" s="2" t="s">
        <v>39</v>
      </c>
      <c r="I4" s="2" t="s">
        <v>40</v>
      </c>
    </row>
    <row r="5" spans="1:4">
      <c r="A5" s="8">
        <v>43318</v>
      </c>
      <c r="B5" s="2" t="s">
        <v>27</v>
      </c>
      <c r="C5" s="2">
        <v>-16</v>
      </c>
      <c r="D5" s="2">
        <f t="shared" ref="D5:D68" si="0">C5/8</f>
        <v>-2</v>
      </c>
    </row>
    <row r="6" spans="1:4">
      <c r="A6" s="8">
        <v>43325</v>
      </c>
      <c r="B6" s="2" t="s">
        <v>27</v>
      </c>
      <c r="C6" s="2">
        <v>-6</v>
      </c>
      <c r="D6" s="2">
        <f t="shared" si="0"/>
        <v>-0.75</v>
      </c>
    </row>
    <row r="7" spans="1:4">
      <c r="A7" s="8">
        <v>43332</v>
      </c>
      <c r="B7" s="2" t="s">
        <v>27</v>
      </c>
      <c r="C7" s="2">
        <v>0.25</v>
      </c>
      <c r="D7" s="2">
        <f t="shared" si="0"/>
        <v>0.03125</v>
      </c>
    </row>
    <row r="8" spans="1:4">
      <c r="A8" s="8">
        <v>43332</v>
      </c>
      <c r="B8" s="2" t="s">
        <v>26</v>
      </c>
      <c r="C8" s="2">
        <v>-15.2</v>
      </c>
      <c r="D8" s="2">
        <f t="shared" si="0"/>
        <v>-1.9</v>
      </c>
    </row>
    <row r="9" spans="1:9">
      <c r="A9" s="8">
        <v>43362</v>
      </c>
      <c r="B9" s="2" t="s">
        <v>28</v>
      </c>
      <c r="C9" s="2">
        <v>0</v>
      </c>
      <c r="D9" s="2">
        <f t="shared" si="0"/>
        <v>0</v>
      </c>
      <c r="I9" s="2" t="s">
        <v>49</v>
      </c>
    </row>
    <row r="10" spans="1:4">
      <c r="A10" s="8">
        <v>43493</v>
      </c>
      <c r="B10" s="2" t="s">
        <v>28</v>
      </c>
      <c r="C10" s="2">
        <v>0.25</v>
      </c>
      <c r="D10" s="2">
        <f t="shared" si="0"/>
        <v>0.03125</v>
      </c>
    </row>
    <row r="11" spans="1:4">
      <c r="A11" s="8">
        <v>43513</v>
      </c>
      <c r="B11" s="2" t="s">
        <v>27</v>
      </c>
      <c r="C11" s="2">
        <v>0.5</v>
      </c>
      <c r="D11" s="2">
        <f t="shared" si="0"/>
        <v>0.0625</v>
      </c>
    </row>
    <row r="12" spans="1:4">
      <c r="A12" s="8">
        <v>43520</v>
      </c>
      <c r="B12" s="2" t="s">
        <v>29</v>
      </c>
      <c r="C12" s="2">
        <v>0.25</v>
      </c>
      <c r="D12" s="2">
        <f t="shared" si="0"/>
        <v>0.03125</v>
      </c>
    </row>
    <row r="13" spans="1:4">
      <c r="A13" s="8">
        <v>43523</v>
      </c>
      <c r="B13" s="2" t="s">
        <v>29</v>
      </c>
      <c r="C13" s="2">
        <v>0.25</v>
      </c>
      <c r="D13" s="2">
        <f t="shared" si="0"/>
        <v>0.03125</v>
      </c>
    </row>
    <row r="14" spans="1:4">
      <c r="A14" s="8">
        <v>43549</v>
      </c>
      <c r="B14" s="2" t="s">
        <v>29</v>
      </c>
      <c r="C14" s="2">
        <v>0.5</v>
      </c>
      <c r="D14" s="2">
        <f t="shared" si="0"/>
        <v>0.0625</v>
      </c>
    </row>
    <row r="15" spans="1:4">
      <c r="A15" s="8">
        <v>43550</v>
      </c>
      <c r="B15" s="2" t="s">
        <v>29</v>
      </c>
      <c r="C15" s="2">
        <v>0.5</v>
      </c>
      <c r="D15" s="2">
        <f t="shared" si="0"/>
        <v>0.0625</v>
      </c>
    </row>
    <row r="16" spans="1:4">
      <c r="A16" s="8">
        <v>43551</v>
      </c>
      <c r="B16" s="2" t="s">
        <v>29</v>
      </c>
      <c r="C16" s="2">
        <v>0.5</v>
      </c>
      <c r="D16" s="2">
        <f t="shared" si="0"/>
        <v>0.0625</v>
      </c>
    </row>
    <row r="17" spans="1:4">
      <c r="A17" s="8">
        <v>43558</v>
      </c>
      <c r="B17" s="2" t="s">
        <v>29</v>
      </c>
      <c r="C17" s="2">
        <v>0.5</v>
      </c>
      <c r="D17" s="2">
        <f t="shared" si="0"/>
        <v>0.0625</v>
      </c>
    </row>
    <row r="18" spans="1:4">
      <c r="A18" s="8">
        <v>43564</v>
      </c>
      <c r="B18" s="2" t="s">
        <v>27</v>
      </c>
      <c r="C18" s="2">
        <v>0.25</v>
      </c>
      <c r="D18" s="2">
        <f t="shared" si="0"/>
        <v>0.03125</v>
      </c>
    </row>
    <row r="19" spans="1:4">
      <c r="A19" s="8">
        <v>43566</v>
      </c>
      <c r="B19" s="2" t="s">
        <v>27</v>
      </c>
      <c r="C19" s="2">
        <v>0.25</v>
      </c>
      <c r="D19" s="2">
        <f t="shared" si="0"/>
        <v>0.03125</v>
      </c>
    </row>
    <row r="20" spans="1:4">
      <c r="A20" s="8">
        <v>43570</v>
      </c>
      <c r="B20" s="2" t="s">
        <v>29</v>
      </c>
      <c r="C20" s="2">
        <v>0.5</v>
      </c>
      <c r="D20" s="2">
        <f t="shared" si="0"/>
        <v>0.0625</v>
      </c>
    </row>
    <row r="21" spans="1:4">
      <c r="A21" s="8">
        <v>43572</v>
      </c>
      <c r="B21" s="2" t="s">
        <v>29</v>
      </c>
      <c r="C21" s="2">
        <v>0.5</v>
      </c>
      <c r="D21" s="2">
        <f t="shared" si="0"/>
        <v>0.0625</v>
      </c>
    </row>
    <row r="22" spans="4:4">
      <c r="D22" s="2">
        <f t="shared" si="0"/>
        <v>0</v>
      </c>
    </row>
    <row r="23" spans="4:4">
      <c r="D23" s="2">
        <f t="shared" si="0"/>
        <v>0</v>
      </c>
    </row>
    <row r="24" spans="4:4">
      <c r="D24" s="2">
        <f t="shared" si="0"/>
        <v>0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si="0"/>
        <v>0</v>
      </c>
    </row>
    <row r="69" spans="4:4">
      <c r="D69" s="2">
        <f t="shared" ref="D69:D80" si="1">C69/8</f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  <row r="80" spans="4:4">
      <c r="D80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80"/>
  <sheetViews>
    <sheetView workbookViewId="0">
      <selection activeCell="A13" sqref="$A13:$XFD13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35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9">
      <c r="A4" s="8">
        <v>43269</v>
      </c>
      <c r="B4" s="2" t="s">
        <v>27</v>
      </c>
      <c r="C4" s="2">
        <v>67</v>
      </c>
      <c r="D4" s="2">
        <f>C4/8</f>
        <v>8.375</v>
      </c>
      <c r="E4" s="2">
        <v>1.2</v>
      </c>
      <c r="F4" s="2" t="s">
        <v>39</v>
      </c>
      <c r="I4" s="2" t="s">
        <v>40</v>
      </c>
    </row>
    <row r="5" spans="1:4">
      <c r="A5" s="8">
        <v>43319</v>
      </c>
      <c r="B5" s="2" t="s">
        <v>25</v>
      </c>
      <c r="C5" s="2">
        <v>-20</v>
      </c>
      <c r="D5" s="2">
        <f t="shared" ref="D5:D68" si="0">C5/8</f>
        <v>-2.5</v>
      </c>
    </row>
    <row r="6" spans="1:4">
      <c r="A6" s="8">
        <v>43332</v>
      </c>
      <c r="B6" s="2" t="s">
        <v>27</v>
      </c>
      <c r="C6" s="2">
        <v>-0.5</v>
      </c>
      <c r="D6" s="2">
        <f t="shared" si="0"/>
        <v>-0.0625</v>
      </c>
    </row>
    <row r="7" spans="1:4">
      <c r="A7" s="8">
        <v>43332</v>
      </c>
      <c r="B7" s="2" t="s">
        <v>26</v>
      </c>
      <c r="C7" s="2">
        <v>-15.2</v>
      </c>
      <c r="D7" s="2">
        <f t="shared" si="0"/>
        <v>-1.9</v>
      </c>
    </row>
    <row r="8" spans="1:4">
      <c r="A8" s="8">
        <v>43362</v>
      </c>
      <c r="B8" s="2" t="s">
        <v>27</v>
      </c>
      <c r="C8" s="2">
        <v>0.25</v>
      </c>
      <c r="D8" s="2">
        <f t="shared" si="0"/>
        <v>0.03125</v>
      </c>
    </row>
    <row r="9" spans="1:4">
      <c r="A9" s="8">
        <v>43374</v>
      </c>
      <c r="B9" s="2" t="s">
        <v>28</v>
      </c>
      <c r="C9" s="2">
        <v>0.25</v>
      </c>
      <c r="D9" s="2">
        <f t="shared" si="0"/>
        <v>0.03125</v>
      </c>
    </row>
    <row r="10" spans="1:4">
      <c r="A10" s="8">
        <v>43390</v>
      </c>
      <c r="B10" s="2" t="s">
        <v>28</v>
      </c>
      <c r="C10" s="2">
        <v>0.5</v>
      </c>
      <c r="D10" s="2">
        <f t="shared" si="0"/>
        <v>0.0625</v>
      </c>
    </row>
    <row r="11" spans="1:4">
      <c r="A11" s="8">
        <v>43418</v>
      </c>
      <c r="B11" s="2" t="s">
        <v>28</v>
      </c>
      <c r="C11" s="2">
        <v>0.5</v>
      </c>
      <c r="D11" s="2">
        <f t="shared" si="0"/>
        <v>0.0625</v>
      </c>
    </row>
    <row r="12" spans="1:4">
      <c r="A12" s="8">
        <v>43516</v>
      </c>
      <c r="B12" s="2" t="s">
        <v>27</v>
      </c>
      <c r="C12" s="2">
        <v>0.25</v>
      </c>
      <c r="D12" s="2">
        <f t="shared" si="0"/>
        <v>0.03125</v>
      </c>
    </row>
    <row r="13" spans="1:4">
      <c r="A13" s="8"/>
      <c r="D13" s="2">
        <f t="shared" si="0"/>
        <v>0</v>
      </c>
    </row>
    <row r="14" spans="4:4">
      <c r="D14" s="2">
        <f t="shared" si="0"/>
        <v>0</v>
      </c>
    </row>
    <row r="15" spans="4:4">
      <c r="D15" s="2">
        <f t="shared" si="0"/>
        <v>0</v>
      </c>
    </row>
    <row r="16" spans="1:4">
      <c r="A16" s="8"/>
      <c r="D16" s="2">
        <f t="shared" si="0"/>
        <v>0</v>
      </c>
    </row>
    <row r="17" spans="1:4">
      <c r="A17" s="8"/>
      <c r="D17" s="2">
        <f t="shared" si="0"/>
        <v>0</v>
      </c>
    </row>
    <row r="18" spans="1:4">
      <c r="A18" s="8"/>
      <c r="D18" s="2">
        <f t="shared" si="0"/>
        <v>0</v>
      </c>
    </row>
    <row r="19" spans="4:4">
      <c r="D19" s="2">
        <f t="shared" si="0"/>
        <v>0</v>
      </c>
    </row>
    <row r="20" spans="4:4">
      <c r="D20" s="2">
        <f t="shared" si="0"/>
        <v>0</v>
      </c>
    </row>
    <row r="21" spans="4:4">
      <c r="D21" s="2">
        <f t="shared" si="0"/>
        <v>0</v>
      </c>
    </row>
    <row r="22" spans="4:4">
      <c r="D22" s="2">
        <f t="shared" si="0"/>
        <v>0</v>
      </c>
    </row>
    <row r="23" spans="4:4">
      <c r="D23" s="2">
        <f t="shared" si="0"/>
        <v>0</v>
      </c>
    </row>
    <row r="24" spans="4:4">
      <c r="D24" s="2">
        <f t="shared" si="0"/>
        <v>0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si="0"/>
        <v>0</v>
      </c>
    </row>
    <row r="69" spans="4:4">
      <c r="D69" s="2">
        <f t="shared" ref="D69:D80" si="1">C69/8</f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  <row r="80" spans="4:4">
      <c r="D80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80"/>
  <sheetViews>
    <sheetView workbookViewId="0">
      <selection activeCell="A24" sqref="$A24:$XFD24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36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9">
      <c r="A4" s="8">
        <v>43269</v>
      </c>
      <c r="B4" s="2" t="s">
        <v>27</v>
      </c>
      <c r="C4" s="2">
        <v>55</v>
      </c>
      <c r="D4" s="2">
        <f>C4/8</f>
        <v>6.875</v>
      </c>
      <c r="E4" s="2">
        <v>1.6</v>
      </c>
      <c r="F4" s="2" t="s">
        <v>39</v>
      </c>
      <c r="I4" s="2" t="s">
        <v>50</v>
      </c>
    </row>
    <row r="5" spans="1:4">
      <c r="A5" s="8">
        <v>43319</v>
      </c>
      <c r="B5" s="2" t="s">
        <v>25</v>
      </c>
      <c r="C5" s="2">
        <v>-8</v>
      </c>
      <c r="D5" s="2">
        <f t="shared" ref="D5:D68" si="0">C5/8</f>
        <v>-1</v>
      </c>
    </row>
    <row r="6" spans="1:4">
      <c r="A6" s="8">
        <v>43325</v>
      </c>
      <c r="B6" s="2" t="s">
        <v>27</v>
      </c>
      <c r="C6" s="2">
        <v>-4</v>
      </c>
      <c r="D6" s="2">
        <f t="shared" si="0"/>
        <v>-0.5</v>
      </c>
    </row>
    <row r="7" spans="1:4">
      <c r="A7" s="8">
        <v>43332</v>
      </c>
      <c r="B7" s="2" t="s">
        <v>26</v>
      </c>
      <c r="C7" s="2">
        <v>-15.2</v>
      </c>
      <c r="D7" s="2">
        <f t="shared" si="0"/>
        <v>-1.9</v>
      </c>
    </row>
    <row r="8" spans="1:4">
      <c r="A8" s="8">
        <v>43362</v>
      </c>
      <c r="B8" s="2" t="s">
        <v>27</v>
      </c>
      <c r="C8" s="2">
        <v>0.25</v>
      </c>
      <c r="D8" s="2">
        <f t="shared" si="0"/>
        <v>0.03125</v>
      </c>
    </row>
    <row r="9" spans="1:4">
      <c r="A9" s="8">
        <v>43374</v>
      </c>
      <c r="B9" s="2" t="s">
        <v>28</v>
      </c>
      <c r="C9" s="2">
        <v>0.5</v>
      </c>
      <c r="D9" s="2">
        <f t="shared" si="0"/>
        <v>0.0625</v>
      </c>
    </row>
    <row r="10" spans="1:4">
      <c r="A10" s="8">
        <v>43390</v>
      </c>
      <c r="B10" s="2" t="s">
        <v>28</v>
      </c>
      <c r="C10" s="2">
        <v>0.5</v>
      </c>
      <c r="D10" s="2">
        <f t="shared" si="0"/>
        <v>0.0625</v>
      </c>
    </row>
    <row r="11" spans="1:4">
      <c r="A11" s="8">
        <v>43418</v>
      </c>
      <c r="B11" s="2" t="s">
        <v>28</v>
      </c>
      <c r="C11" s="2">
        <v>0.25</v>
      </c>
      <c r="D11" s="2">
        <f t="shared" si="0"/>
        <v>0.03125</v>
      </c>
    </row>
    <row r="12" spans="1:4">
      <c r="A12" s="8">
        <v>43476</v>
      </c>
      <c r="B12" s="2" t="s">
        <v>28</v>
      </c>
      <c r="C12" s="2">
        <v>0.25</v>
      </c>
      <c r="D12" s="2">
        <f t="shared" si="0"/>
        <v>0.03125</v>
      </c>
    </row>
    <row r="13" spans="1:4">
      <c r="A13" s="8">
        <v>43489</v>
      </c>
      <c r="B13" s="2" t="s">
        <v>28</v>
      </c>
      <c r="C13" s="2">
        <v>0.25</v>
      </c>
      <c r="D13" s="2">
        <f t="shared" si="0"/>
        <v>0.03125</v>
      </c>
    </row>
    <row r="14" spans="1:4">
      <c r="A14" s="8">
        <v>43513</v>
      </c>
      <c r="B14" s="2" t="s">
        <v>27</v>
      </c>
      <c r="C14" s="2">
        <v>0.5</v>
      </c>
      <c r="D14" s="2">
        <f t="shared" si="0"/>
        <v>0.0625</v>
      </c>
    </row>
    <row r="15" spans="1:4">
      <c r="A15" s="8">
        <v>43516</v>
      </c>
      <c r="B15" s="2" t="s">
        <v>27</v>
      </c>
      <c r="C15" s="2">
        <v>0.25</v>
      </c>
      <c r="D15" s="2">
        <f t="shared" si="0"/>
        <v>0.03125</v>
      </c>
    </row>
    <row r="16" spans="1:4">
      <c r="A16" s="8">
        <v>43520</v>
      </c>
      <c r="B16" s="2" t="s">
        <v>29</v>
      </c>
      <c r="C16" s="2">
        <v>0.25</v>
      </c>
      <c r="D16" s="2">
        <f t="shared" si="0"/>
        <v>0.03125</v>
      </c>
    </row>
    <row r="17" spans="1:4">
      <c r="A17" s="8">
        <v>43549</v>
      </c>
      <c r="B17" s="2" t="s">
        <v>29</v>
      </c>
      <c r="C17" s="2">
        <v>0.5</v>
      </c>
      <c r="D17" s="2">
        <f t="shared" si="0"/>
        <v>0.0625</v>
      </c>
    </row>
    <row r="18" spans="1:4">
      <c r="A18" s="8">
        <v>43550</v>
      </c>
      <c r="B18" s="2" t="s">
        <v>29</v>
      </c>
      <c r="C18" s="2">
        <v>0.5</v>
      </c>
      <c r="D18" s="2">
        <f t="shared" si="0"/>
        <v>0.0625</v>
      </c>
    </row>
    <row r="19" spans="1:4">
      <c r="A19" s="8">
        <v>43551</v>
      </c>
      <c r="B19" s="2" t="s">
        <v>29</v>
      </c>
      <c r="C19" s="2">
        <v>0.5</v>
      </c>
      <c r="D19" s="2">
        <f t="shared" si="0"/>
        <v>0.0625</v>
      </c>
    </row>
    <row r="20" spans="1:4">
      <c r="A20" s="8">
        <v>43558</v>
      </c>
      <c r="B20" s="2" t="s">
        <v>29</v>
      </c>
      <c r="C20" s="2">
        <v>0.5</v>
      </c>
      <c r="D20" s="2">
        <f t="shared" si="0"/>
        <v>0.0625</v>
      </c>
    </row>
    <row r="21" spans="1:4">
      <c r="A21" s="8">
        <v>43564</v>
      </c>
      <c r="B21" s="2" t="s">
        <v>27</v>
      </c>
      <c r="C21" s="2">
        <v>0.25</v>
      </c>
      <c r="D21" s="2">
        <f t="shared" si="0"/>
        <v>0.03125</v>
      </c>
    </row>
    <row r="22" spans="1:4">
      <c r="A22" s="8">
        <v>43566</v>
      </c>
      <c r="B22" s="2" t="s">
        <v>27</v>
      </c>
      <c r="C22" s="2">
        <v>0.5</v>
      </c>
      <c r="D22" s="2">
        <f t="shared" si="0"/>
        <v>0.0625</v>
      </c>
    </row>
    <row r="23" spans="1:4">
      <c r="A23" s="8">
        <v>43570</v>
      </c>
      <c r="B23" s="2" t="s">
        <v>29</v>
      </c>
      <c r="C23" s="2">
        <v>0.5</v>
      </c>
      <c r="D23" s="2">
        <f t="shared" si="0"/>
        <v>0.0625</v>
      </c>
    </row>
    <row r="24" spans="1:4">
      <c r="A24" s="8">
        <v>43572</v>
      </c>
      <c r="B24" s="2" t="s">
        <v>29</v>
      </c>
      <c r="C24" s="2">
        <v>0.5</v>
      </c>
      <c r="D24" s="2">
        <f t="shared" si="0"/>
        <v>0.0625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si="0"/>
        <v>0</v>
      </c>
    </row>
    <row r="69" spans="4:4">
      <c r="D69" s="2">
        <f t="shared" ref="D69:D80" si="1">C69/8</f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  <row r="80" spans="4:4">
      <c r="D80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80"/>
  <sheetViews>
    <sheetView workbookViewId="0">
      <selection activeCell="A24" sqref="$A24:$XFD24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37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9">
      <c r="A4" s="8">
        <v>43269</v>
      </c>
      <c r="B4" s="2" t="s">
        <v>27</v>
      </c>
      <c r="C4" s="2">
        <v>81</v>
      </c>
      <c r="D4" s="2">
        <f>C4/8</f>
        <v>10.125</v>
      </c>
      <c r="E4" s="2">
        <v>1.3</v>
      </c>
      <c r="F4" s="2" t="s">
        <v>39</v>
      </c>
      <c r="I4" s="2" t="s">
        <v>51</v>
      </c>
    </row>
    <row r="5" spans="1:4">
      <c r="A5" s="8">
        <v>43311</v>
      </c>
      <c r="B5" s="2" t="s">
        <v>27</v>
      </c>
      <c r="C5" s="2">
        <v>-8</v>
      </c>
      <c r="D5" s="2">
        <f t="shared" ref="D5:D68" si="0">C5/8</f>
        <v>-1</v>
      </c>
    </row>
    <row r="6" spans="1:4">
      <c r="A6" s="8">
        <v>43319</v>
      </c>
      <c r="B6" s="2" t="s">
        <v>25</v>
      </c>
      <c r="C6" s="2">
        <v>-12</v>
      </c>
      <c r="D6" s="2">
        <f t="shared" si="0"/>
        <v>-1.5</v>
      </c>
    </row>
    <row r="7" spans="1:4">
      <c r="A7" s="8">
        <v>43332</v>
      </c>
      <c r="B7" s="2" t="s">
        <v>26</v>
      </c>
      <c r="C7" s="2">
        <v>-15.2</v>
      </c>
      <c r="D7" s="2">
        <f t="shared" si="0"/>
        <v>-1.9</v>
      </c>
    </row>
    <row r="8" spans="1:4">
      <c r="A8" s="8">
        <v>43362</v>
      </c>
      <c r="B8" s="2" t="s">
        <v>27</v>
      </c>
      <c r="C8" s="2">
        <v>1</v>
      </c>
      <c r="D8" s="2">
        <f t="shared" si="0"/>
        <v>0.125</v>
      </c>
    </row>
    <row r="9" spans="1:4">
      <c r="A9" s="8">
        <v>43370</v>
      </c>
      <c r="B9" s="2" t="s">
        <v>28</v>
      </c>
      <c r="C9" s="2">
        <v>0.5</v>
      </c>
      <c r="D9" s="2">
        <f t="shared" si="0"/>
        <v>0.0625</v>
      </c>
    </row>
    <row r="10" spans="1:4">
      <c r="A10" s="8">
        <v>43418</v>
      </c>
      <c r="B10" s="2" t="s">
        <v>28</v>
      </c>
      <c r="C10" s="2">
        <v>0.25</v>
      </c>
      <c r="D10" s="2">
        <f t="shared" si="0"/>
        <v>0.03125</v>
      </c>
    </row>
    <row r="11" spans="1:4">
      <c r="A11" s="8">
        <v>43476</v>
      </c>
      <c r="B11" s="2" t="s">
        <v>28</v>
      </c>
      <c r="C11" s="2">
        <v>0.25</v>
      </c>
      <c r="D11" s="2">
        <f t="shared" si="0"/>
        <v>0.03125</v>
      </c>
    </row>
    <row r="12" spans="1:4">
      <c r="A12" s="8">
        <v>43513</v>
      </c>
      <c r="B12" s="2" t="s">
        <v>27</v>
      </c>
      <c r="C12" s="2">
        <v>0.5</v>
      </c>
      <c r="D12" s="2">
        <f t="shared" si="0"/>
        <v>0.0625</v>
      </c>
    </row>
    <row r="13" spans="1:4">
      <c r="A13" s="8">
        <v>43516</v>
      </c>
      <c r="B13" s="2" t="s">
        <v>27</v>
      </c>
      <c r="C13" s="2">
        <v>0.25</v>
      </c>
      <c r="D13" s="2">
        <f t="shared" si="0"/>
        <v>0.03125</v>
      </c>
    </row>
    <row r="14" spans="1:4">
      <c r="A14" s="8">
        <v>43520</v>
      </c>
      <c r="B14" s="2" t="s">
        <v>29</v>
      </c>
      <c r="C14" s="2">
        <v>0.25</v>
      </c>
      <c r="D14" s="2">
        <f t="shared" si="0"/>
        <v>0.03125</v>
      </c>
    </row>
    <row r="15" spans="1:4">
      <c r="A15" s="8">
        <v>43536</v>
      </c>
      <c r="B15" s="2" t="s">
        <v>29</v>
      </c>
      <c r="C15" s="2">
        <v>0.25</v>
      </c>
      <c r="D15" s="2">
        <f t="shared" si="0"/>
        <v>0.03125</v>
      </c>
    </row>
    <row r="16" spans="1:4">
      <c r="A16" s="8">
        <v>43549</v>
      </c>
      <c r="B16" s="2" t="s">
        <v>29</v>
      </c>
      <c r="C16" s="2">
        <v>0.5</v>
      </c>
      <c r="D16" s="2">
        <f t="shared" si="0"/>
        <v>0.0625</v>
      </c>
    </row>
    <row r="17" spans="1:4">
      <c r="A17" s="8">
        <v>43550</v>
      </c>
      <c r="B17" s="2" t="s">
        <v>29</v>
      </c>
      <c r="C17" s="2">
        <v>0.5</v>
      </c>
      <c r="D17" s="2">
        <f t="shared" si="0"/>
        <v>0.0625</v>
      </c>
    </row>
    <row r="18" spans="1:4">
      <c r="A18" s="8">
        <v>43551</v>
      </c>
      <c r="B18" s="2" t="s">
        <v>29</v>
      </c>
      <c r="C18" s="2">
        <v>0.5</v>
      </c>
      <c r="D18" s="2">
        <f t="shared" si="0"/>
        <v>0.0625</v>
      </c>
    </row>
    <row r="19" spans="1:4">
      <c r="A19" s="8">
        <v>43552</v>
      </c>
      <c r="B19" s="2" t="s">
        <v>29</v>
      </c>
      <c r="C19" s="2">
        <v>2</v>
      </c>
      <c r="D19" s="2">
        <f t="shared" si="0"/>
        <v>0.25</v>
      </c>
    </row>
    <row r="20" spans="1:4">
      <c r="A20" s="8">
        <v>43558</v>
      </c>
      <c r="B20" s="2" t="s">
        <v>29</v>
      </c>
      <c r="C20" s="2">
        <v>0.5</v>
      </c>
      <c r="D20" s="2">
        <f t="shared" si="0"/>
        <v>0.0625</v>
      </c>
    </row>
    <row r="21" spans="1:4">
      <c r="A21" s="8">
        <v>43564</v>
      </c>
      <c r="B21" s="2" t="s">
        <v>27</v>
      </c>
      <c r="C21" s="2">
        <v>0.25</v>
      </c>
      <c r="D21" s="2">
        <f t="shared" si="0"/>
        <v>0.03125</v>
      </c>
    </row>
    <row r="22" spans="1:4">
      <c r="A22" s="8">
        <v>43566</v>
      </c>
      <c r="B22" s="2" t="s">
        <v>27</v>
      </c>
      <c r="C22" s="2">
        <v>0.25</v>
      </c>
      <c r="D22" s="2">
        <f t="shared" si="0"/>
        <v>0.03125</v>
      </c>
    </row>
    <row r="23" spans="1:4">
      <c r="A23" s="8">
        <v>43570</v>
      </c>
      <c r="B23" s="2" t="s">
        <v>29</v>
      </c>
      <c r="C23" s="2">
        <v>0.5</v>
      </c>
      <c r="D23" s="2">
        <f t="shared" si="0"/>
        <v>0.0625</v>
      </c>
    </row>
    <row r="24" spans="1:4">
      <c r="A24" s="8">
        <v>43572</v>
      </c>
      <c r="B24" s="2" t="s">
        <v>29</v>
      </c>
      <c r="C24" s="2">
        <v>0.5</v>
      </c>
      <c r="D24" s="2">
        <f t="shared" si="0"/>
        <v>0.0625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si="0"/>
        <v>0</v>
      </c>
    </row>
    <row r="69" spans="4:4">
      <c r="D69" s="2">
        <f t="shared" ref="D69:D80" si="1">C69/8</f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  <row r="80" spans="4:4">
      <c r="D80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80"/>
  <sheetViews>
    <sheetView workbookViewId="0">
      <selection activeCell="A8" sqref="A8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38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9">
      <c r="A4" s="8">
        <v>43269</v>
      </c>
      <c r="B4" s="2" t="s">
        <v>27</v>
      </c>
      <c r="C4" s="2">
        <v>0</v>
      </c>
      <c r="D4" s="2">
        <f>C4/8</f>
        <v>0</v>
      </c>
      <c r="I4" s="2" t="s">
        <v>41</v>
      </c>
    </row>
    <row r="5" spans="1:4">
      <c r="A5" s="8">
        <v>43319</v>
      </c>
      <c r="B5" s="2" t="s">
        <v>25</v>
      </c>
      <c r="C5" s="2">
        <v>0.5</v>
      </c>
      <c r="D5" s="2">
        <f t="shared" ref="D5:D68" si="0">C5/8</f>
        <v>0.0625</v>
      </c>
    </row>
    <row r="6" spans="1:4">
      <c r="A6" s="8">
        <v>43332</v>
      </c>
      <c r="B6" s="2" t="s">
        <v>26</v>
      </c>
      <c r="C6" s="2">
        <v>-15.2</v>
      </c>
      <c r="D6" s="2">
        <f t="shared" si="0"/>
        <v>-1.9</v>
      </c>
    </row>
    <row r="7" spans="1:4">
      <c r="A7" s="8">
        <v>43418</v>
      </c>
      <c r="B7" s="2" t="s">
        <v>28</v>
      </c>
      <c r="C7" s="2">
        <v>0.5</v>
      </c>
      <c r="D7" s="2">
        <f t="shared" si="0"/>
        <v>0.0625</v>
      </c>
    </row>
    <row r="8" spans="1:4">
      <c r="A8" s="8"/>
      <c r="D8" s="2">
        <f t="shared" si="0"/>
        <v>0</v>
      </c>
    </row>
    <row r="9" spans="4:4">
      <c r="D9" s="2">
        <f t="shared" si="0"/>
        <v>0</v>
      </c>
    </row>
    <row r="10" spans="4:4">
      <c r="D10" s="2">
        <f t="shared" si="0"/>
        <v>0</v>
      </c>
    </row>
    <row r="11" spans="4:4">
      <c r="D11" s="2">
        <f t="shared" si="0"/>
        <v>0</v>
      </c>
    </row>
    <row r="12" spans="4:4">
      <c r="D12" s="2">
        <f t="shared" si="0"/>
        <v>0</v>
      </c>
    </row>
    <row r="13" spans="4:4">
      <c r="D13" s="2">
        <f t="shared" si="0"/>
        <v>0</v>
      </c>
    </row>
    <row r="14" spans="4:4">
      <c r="D14" s="2">
        <f t="shared" si="0"/>
        <v>0</v>
      </c>
    </row>
    <row r="15" spans="4:4">
      <c r="D15" s="2">
        <f t="shared" si="0"/>
        <v>0</v>
      </c>
    </row>
    <row r="16" spans="1:4">
      <c r="A16" s="8"/>
      <c r="D16" s="2">
        <f t="shared" si="0"/>
        <v>0</v>
      </c>
    </row>
    <row r="17" spans="1:4">
      <c r="A17" s="8"/>
      <c r="D17" s="2">
        <f t="shared" si="0"/>
        <v>0</v>
      </c>
    </row>
    <row r="18" spans="1:4">
      <c r="A18" s="8"/>
      <c r="D18" s="2">
        <f t="shared" si="0"/>
        <v>0</v>
      </c>
    </row>
    <row r="19" spans="4:4">
      <c r="D19" s="2">
        <f t="shared" si="0"/>
        <v>0</v>
      </c>
    </row>
    <row r="20" spans="4:4">
      <c r="D20" s="2">
        <f t="shared" si="0"/>
        <v>0</v>
      </c>
    </row>
    <row r="21" spans="4:4">
      <c r="D21" s="2">
        <f t="shared" si="0"/>
        <v>0</v>
      </c>
    </row>
    <row r="22" spans="4:4">
      <c r="D22" s="2">
        <f t="shared" si="0"/>
        <v>0</v>
      </c>
    </row>
    <row r="23" spans="4:4">
      <c r="D23" s="2">
        <f t="shared" si="0"/>
        <v>0</v>
      </c>
    </row>
    <row r="24" spans="4:4">
      <c r="D24" s="2">
        <f t="shared" si="0"/>
        <v>0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si="0"/>
        <v>0</v>
      </c>
    </row>
    <row r="69" spans="4:4">
      <c r="D69" s="2">
        <f t="shared" ref="D69:D80" si="1">C69/8</f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  <row r="80" spans="4:4">
      <c r="D80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81"/>
  <sheetViews>
    <sheetView workbookViewId="0">
      <selection activeCell="A19" sqref="$A19:$XFD19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39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9">
      <c r="A4" s="8">
        <v>43253</v>
      </c>
      <c r="B4" s="2" t="s">
        <v>27</v>
      </c>
      <c r="C4" s="2">
        <v>55</v>
      </c>
      <c r="D4" s="2">
        <f t="shared" ref="D4:D69" si="0">C4/8</f>
        <v>6.875</v>
      </c>
      <c r="I4" s="2" t="s">
        <v>52</v>
      </c>
    </row>
    <row r="5" spans="1:4">
      <c r="A5" s="8">
        <v>43319</v>
      </c>
      <c r="B5" s="2" t="s">
        <v>25</v>
      </c>
      <c r="C5" s="2">
        <v>-1</v>
      </c>
      <c r="D5" s="2">
        <f t="shared" si="0"/>
        <v>-0.125</v>
      </c>
    </row>
    <row r="6" spans="1:4">
      <c r="A6" s="8">
        <v>43332</v>
      </c>
      <c r="B6" s="2" t="s">
        <v>27</v>
      </c>
      <c r="C6" s="2">
        <v>8</v>
      </c>
      <c r="D6" s="2">
        <f t="shared" si="0"/>
        <v>1</v>
      </c>
    </row>
    <row r="7" spans="1:4">
      <c r="A7" s="8">
        <v>43332</v>
      </c>
      <c r="B7" s="2" t="s">
        <v>26</v>
      </c>
      <c r="C7" s="2">
        <v>-15.2</v>
      </c>
      <c r="D7" s="2">
        <f t="shared" si="0"/>
        <v>-1.9</v>
      </c>
    </row>
    <row r="8" spans="1:4">
      <c r="A8" s="8">
        <v>43371</v>
      </c>
      <c r="B8" s="2" t="s">
        <v>28</v>
      </c>
      <c r="C8" s="2">
        <v>0.5</v>
      </c>
      <c r="D8" s="2">
        <f t="shared" si="0"/>
        <v>0.0625</v>
      </c>
    </row>
    <row r="9" spans="1:4">
      <c r="A9" s="8">
        <v>43418</v>
      </c>
      <c r="B9" s="2" t="s">
        <v>28</v>
      </c>
      <c r="C9" s="2">
        <v>0.5</v>
      </c>
      <c r="D9" s="2">
        <f t="shared" si="0"/>
        <v>0.0625</v>
      </c>
    </row>
    <row r="10" spans="1:4">
      <c r="A10" s="8">
        <v>43476</v>
      </c>
      <c r="B10" s="2" t="s">
        <v>28</v>
      </c>
      <c r="C10" s="2">
        <v>0.25</v>
      </c>
      <c r="D10" s="2">
        <f t="shared" si="0"/>
        <v>0.03125</v>
      </c>
    </row>
    <row r="11" spans="1:4">
      <c r="A11" s="8">
        <v>43513</v>
      </c>
      <c r="B11" s="2" t="s">
        <v>27</v>
      </c>
      <c r="C11" s="2">
        <v>0.5</v>
      </c>
      <c r="D11" s="2">
        <f t="shared" si="0"/>
        <v>0.0625</v>
      </c>
    </row>
    <row r="12" spans="1:4">
      <c r="A12" s="8">
        <v>43520</v>
      </c>
      <c r="B12" s="2" t="s">
        <v>29</v>
      </c>
      <c r="C12" s="2">
        <v>0.25</v>
      </c>
      <c r="D12" s="2">
        <f t="shared" si="0"/>
        <v>0.03125</v>
      </c>
    </row>
    <row r="13" spans="1:4">
      <c r="A13" s="8">
        <v>43523</v>
      </c>
      <c r="B13" s="2" t="s">
        <v>29</v>
      </c>
      <c r="C13" s="2">
        <v>0.25</v>
      </c>
      <c r="D13" s="2">
        <f t="shared" si="0"/>
        <v>0.03125</v>
      </c>
    </row>
    <row r="14" spans="1:4">
      <c r="A14" s="8">
        <v>43536</v>
      </c>
      <c r="B14" s="2" t="s">
        <v>29</v>
      </c>
      <c r="C14" s="2">
        <v>0.25</v>
      </c>
      <c r="D14" s="2">
        <f t="shared" si="0"/>
        <v>0.03125</v>
      </c>
    </row>
    <row r="15" spans="1:4">
      <c r="A15" s="8">
        <v>43549</v>
      </c>
      <c r="B15" s="2" t="s">
        <v>29</v>
      </c>
      <c r="C15" s="2">
        <v>0.5</v>
      </c>
      <c r="D15" s="2">
        <f t="shared" si="0"/>
        <v>0.0625</v>
      </c>
    </row>
    <row r="16" spans="1:4">
      <c r="A16" s="8">
        <v>43558</v>
      </c>
      <c r="B16" s="2" t="s">
        <v>29</v>
      </c>
      <c r="C16" s="2">
        <v>0.5</v>
      </c>
      <c r="D16" s="2">
        <f t="shared" si="0"/>
        <v>0.0625</v>
      </c>
    </row>
    <row r="17" spans="1:4">
      <c r="A17" s="8">
        <v>43564</v>
      </c>
      <c r="B17" s="2" t="s">
        <v>27</v>
      </c>
      <c r="C17" s="2">
        <v>0.5</v>
      </c>
      <c r="D17" s="2">
        <f t="shared" ref="D17:D19" si="1">C17/8</f>
        <v>0.0625</v>
      </c>
    </row>
    <row r="18" spans="1:4">
      <c r="A18" s="8">
        <v>43566</v>
      </c>
      <c r="B18" s="2" t="s">
        <v>27</v>
      </c>
      <c r="C18" s="2">
        <v>0.25</v>
      </c>
      <c r="D18" s="2">
        <f t="shared" si="1"/>
        <v>0.03125</v>
      </c>
    </row>
    <row r="19" spans="1:4">
      <c r="A19" s="8">
        <v>43570</v>
      </c>
      <c r="B19" s="2" t="s">
        <v>29</v>
      </c>
      <c r="C19" s="2">
        <v>0.25</v>
      </c>
      <c r="D19" s="2">
        <f t="shared" si="1"/>
        <v>0.03125</v>
      </c>
    </row>
    <row r="20" spans="4:4">
      <c r="D20" s="2">
        <f t="shared" si="0"/>
        <v>0</v>
      </c>
    </row>
    <row r="21" spans="4:4">
      <c r="D21" s="2">
        <f t="shared" si="0"/>
        <v>0</v>
      </c>
    </row>
    <row r="22" spans="4:4">
      <c r="D22" s="2">
        <f t="shared" si="0"/>
        <v>0</v>
      </c>
    </row>
    <row r="23" spans="4:4">
      <c r="D23" s="2">
        <f t="shared" si="0"/>
        <v>0</v>
      </c>
    </row>
    <row r="24" spans="4:4">
      <c r="D24" s="2">
        <f t="shared" si="0"/>
        <v>0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si="0"/>
        <v>0</v>
      </c>
    </row>
    <row r="69" spans="4:4">
      <c r="D69" s="2">
        <f t="shared" si="0"/>
        <v>0</v>
      </c>
    </row>
    <row r="70" spans="4:4">
      <c r="D70" s="2">
        <f t="shared" ref="D70:D81" si="2">C70/8</f>
        <v>0</v>
      </c>
    </row>
    <row r="71" spans="4:4">
      <c r="D71" s="2">
        <f t="shared" si="2"/>
        <v>0</v>
      </c>
    </row>
    <row r="72" spans="4:4">
      <c r="D72" s="2">
        <f t="shared" si="2"/>
        <v>0</v>
      </c>
    </row>
    <row r="73" spans="4:4">
      <c r="D73" s="2">
        <f t="shared" si="2"/>
        <v>0</v>
      </c>
    </row>
    <row r="74" spans="4:4">
      <c r="D74" s="2">
        <f t="shared" si="2"/>
        <v>0</v>
      </c>
    </row>
    <row r="75" spans="4:4">
      <c r="D75" s="2">
        <f t="shared" si="2"/>
        <v>0</v>
      </c>
    </row>
    <row r="76" spans="4:4">
      <c r="D76" s="2">
        <f t="shared" si="2"/>
        <v>0</v>
      </c>
    </row>
    <row r="77" spans="4:4">
      <c r="D77" s="2">
        <f t="shared" si="2"/>
        <v>0</v>
      </c>
    </row>
    <row r="78" spans="4:4">
      <c r="D78" s="2">
        <f t="shared" si="2"/>
        <v>0</v>
      </c>
    </row>
    <row r="79" spans="4:4">
      <c r="D79" s="2">
        <f t="shared" si="2"/>
        <v>0</v>
      </c>
    </row>
    <row r="80" spans="4:4">
      <c r="D80" s="2">
        <f t="shared" si="2"/>
        <v>0</v>
      </c>
    </row>
    <row r="81" spans="4:4">
      <c r="D81" s="2">
        <f t="shared" si="2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79"/>
  <sheetViews>
    <sheetView workbookViewId="0">
      <selection activeCell="A27" sqref="$A27:$XFD27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40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9">
      <c r="A4" s="8">
        <v>43253</v>
      </c>
      <c r="B4" s="2" t="s">
        <v>27</v>
      </c>
      <c r="C4" s="2">
        <v>81</v>
      </c>
      <c r="D4" s="2">
        <f t="shared" ref="D4:D67" si="0">C4/8</f>
        <v>10.125</v>
      </c>
      <c r="I4" s="2" t="s">
        <v>45</v>
      </c>
    </row>
    <row r="5" spans="1:4">
      <c r="A5" s="8">
        <v>43311</v>
      </c>
      <c r="B5" s="2" t="s">
        <v>27</v>
      </c>
      <c r="C5" s="2">
        <v>-16</v>
      </c>
      <c r="D5" s="2">
        <f t="shared" si="0"/>
        <v>-2</v>
      </c>
    </row>
    <row r="6" spans="1:4">
      <c r="A6" s="8">
        <v>43319</v>
      </c>
      <c r="B6" s="2" t="s">
        <v>25</v>
      </c>
      <c r="C6" s="2">
        <v>-8</v>
      </c>
      <c r="D6" s="2">
        <f t="shared" si="0"/>
        <v>-1</v>
      </c>
    </row>
    <row r="7" spans="1:4">
      <c r="A7" s="8">
        <v>43326</v>
      </c>
      <c r="B7" s="2" t="s">
        <v>25</v>
      </c>
      <c r="C7" s="2">
        <v>-1</v>
      </c>
      <c r="D7" s="2">
        <f t="shared" si="0"/>
        <v>-0.125</v>
      </c>
    </row>
    <row r="8" spans="1:4">
      <c r="A8" s="8">
        <v>43332</v>
      </c>
      <c r="B8" s="2" t="s">
        <v>27</v>
      </c>
      <c r="C8" s="2">
        <v>0.5</v>
      </c>
      <c r="D8" s="2">
        <f t="shared" si="0"/>
        <v>0.0625</v>
      </c>
    </row>
    <row r="9" spans="1:4">
      <c r="A9" s="8">
        <v>43332</v>
      </c>
      <c r="B9" s="2" t="s">
        <v>26</v>
      </c>
      <c r="C9" s="2">
        <v>-15.2</v>
      </c>
      <c r="D9" s="2">
        <f t="shared" si="0"/>
        <v>-1.9</v>
      </c>
    </row>
    <row r="10" spans="1:4">
      <c r="A10" s="8">
        <v>43363</v>
      </c>
      <c r="B10" s="2" t="s">
        <v>27</v>
      </c>
      <c r="C10" s="2">
        <v>4</v>
      </c>
      <c r="D10" s="2">
        <f t="shared" si="0"/>
        <v>0.5</v>
      </c>
    </row>
    <row r="11" spans="1:4">
      <c r="A11" s="8">
        <v>43371</v>
      </c>
      <c r="B11" s="2" t="s">
        <v>28</v>
      </c>
      <c r="C11" s="2">
        <v>0.5</v>
      </c>
      <c r="D11" s="2">
        <f t="shared" si="0"/>
        <v>0.0625</v>
      </c>
    </row>
    <row r="12" spans="1:4">
      <c r="A12" s="8">
        <v>43375</v>
      </c>
      <c r="B12" s="2" t="s">
        <v>28</v>
      </c>
      <c r="C12" s="2">
        <v>0.5</v>
      </c>
      <c r="D12" s="2">
        <f t="shared" si="0"/>
        <v>0.0625</v>
      </c>
    </row>
    <row r="13" spans="1:4">
      <c r="A13" s="8">
        <v>43391</v>
      </c>
      <c r="B13" s="2" t="s">
        <v>28</v>
      </c>
      <c r="C13" s="2">
        <v>0.5</v>
      </c>
      <c r="D13" s="2">
        <f t="shared" si="0"/>
        <v>0.0625</v>
      </c>
    </row>
    <row r="14" spans="1:4">
      <c r="A14" s="8">
        <v>43418</v>
      </c>
      <c r="B14" s="2" t="s">
        <v>28</v>
      </c>
      <c r="C14" s="2">
        <v>0.5</v>
      </c>
      <c r="D14" s="2">
        <f t="shared" si="0"/>
        <v>0.0625</v>
      </c>
    </row>
    <row r="15" spans="1:4">
      <c r="A15" s="8">
        <v>43475</v>
      </c>
      <c r="B15" s="2" t="s">
        <v>28</v>
      </c>
      <c r="C15" s="2">
        <v>0.25</v>
      </c>
      <c r="D15" s="2">
        <f t="shared" si="0"/>
        <v>0.03125</v>
      </c>
    </row>
    <row r="16" spans="1:4">
      <c r="A16" s="8">
        <v>43513</v>
      </c>
      <c r="B16" s="2" t="s">
        <v>27</v>
      </c>
      <c r="C16" s="2">
        <v>0.5</v>
      </c>
      <c r="D16" s="2">
        <f t="shared" si="0"/>
        <v>0.0625</v>
      </c>
    </row>
    <row r="17" spans="1:4">
      <c r="A17" s="8">
        <v>43520</v>
      </c>
      <c r="B17" s="2" t="s">
        <v>29</v>
      </c>
      <c r="C17" s="2">
        <v>0.25</v>
      </c>
      <c r="D17" s="2">
        <f t="shared" si="0"/>
        <v>0.03125</v>
      </c>
    </row>
    <row r="18" spans="1:4">
      <c r="A18" s="8">
        <v>43536</v>
      </c>
      <c r="B18" s="2" t="s">
        <v>29</v>
      </c>
      <c r="C18" s="2">
        <v>0.25</v>
      </c>
      <c r="D18" s="2">
        <f t="shared" si="0"/>
        <v>0.03125</v>
      </c>
    </row>
    <row r="19" spans="1:4">
      <c r="A19" s="8">
        <v>43549</v>
      </c>
      <c r="B19" s="2" t="s">
        <v>29</v>
      </c>
      <c r="C19" s="2">
        <v>0.5</v>
      </c>
      <c r="D19" s="2">
        <f t="shared" si="0"/>
        <v>0.0625</v>
      </c>
    </row>
    <row r="20" spans="1:4">
      <c r="A20" s="8">
        <v>43550</v>
      </c>
      <c r="B20" s="2" t="s">
        <v>29</v>
      </c>
      <c r="C20" s="2">
        <v>0.5</v>
      </c>
      <c r="D20" s="2">
        <f t="shared" si="0"/>
        <v>0.0625</v>
      </c>
    </row>
    <row r="21" spans="1:4">
      <c r="A21" s="8">
        <v>43551</v>
      </c>
      <c r="B21" s="2" t="s">
        <v>29</v>
      </c>
      <c r="C21" s="2">
        <v>0.5</v>
      </c>
      <c r="D21" s="2">
        <f t="shared" si="0"/>
        <v>0.0625</v>
      </c>
    </row>
    <row r="22" spans="1:4">
      <c r="A22" s="8">
        <v>43552</v>
      </c>
      <c r="B22" s="2" t="s">
        <v>29</v>
      </c>
      <c r="C22" s="2">
        <v>16</v>
      </c>
      <c r="D22" s="2">
        <f t="shared" si="0"/>
        <v>2</v>
      </c>
    </row>
    <row r="23" spans="1:4">
      <c r="A23" s="8">
        <v>43558</v>
      </c>
      <c r="B23" s="2" t="s">
        <v>29</v>
      </c>
      <c r="C23" s="2">
        <v>0.5</v>
      </c>
      <c r="D23" s="2">
        <f t="shared" si="0"/>
        <v>0.0625</v>
      </c>
    </row>
    <row r="24" spans="1:4">
      <c r="A24" s="8">
        <v>43564</v>
      </c>
      <c r="B24" s="2" t="s">
        <v>27</v>
      </c>
      <c r="C24" s="2">
        <v>0.25</v>
      </c>
      <c r="D24" s="2">
        <f t="shared" si="0"/>
        <v>0.03125</v>
      </c>
    </row>
    <row r="25" spans="1:4">
      <c r="A25" s="8">
        <v>43566</v>
      </c>
      <c r="B25" s="2" t="s">
        <v>27</v>
      </c>
      <c r="C25" s="2">
        <v>0.25</v>
      </c>
      <c r="D25" s="2">
        <f t="shared" si="0"/>
        <v>0.03125</v>
      </c>
    </row>
    <row r="26" spans="1:4">
      <c r="A26" s="8">
        <v>43570</v>
      </c>
      <c r="B26" s="2" t="s">
        <v>29</v>
      </c>
      <c r="C26" s="2">
        <v>0.5</v>
      </c>
      <c r="D26" s="2">
        <f t="shared" si="0"/>
        <v>0.0625</v>
      </c>
    </row>
    <row r="27" spans="1:4">
      <c r="A27" s="8">
        <v>43572</v>
      </c>
      <c r="B27" s="2" t="s">
        <v>29</v>
      </c>
      <c r="C27" s="2">
        <v>0.5</v>
      </c>
      <c r="D27" s="2">
        <f t="shared" si="0"/>
        <v>0.0625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ref="D68:D79" si="1">C68/8</f>
        <v>0</v>
      </c>
    </row>
    <row r="69" spans="4:4">
      <c r="D69" s="2">
        <f t="shared" si="1"/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80"/>
  <sheetViews>
    <sheetView workbookViewId="0">
      <selection activeCell="A16" sqref="$A16:$XFD16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41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4">
      <c r="A4" s="8">
        <v>43319</v>
      </c>
      <c r="B4" s="2" t="s">
        <v>25</v>
      </c>
      <c r="C4" s="2">
        <v>0.5</v>
      </c>
      <c r="D4" s="2">
        <f>C4/8</f>
        <v>0.0625</v>
      </c>
    </row>
    <row r="5" spans="1:4">
      <c r="A5" s="8">
        <v>43332</v>
      </c>
      <c r="B5" s="2" t="s">
        <v>26</v>
      </c>
      <c r="C5" s="2">
        <v>-15.2</v>
      </c>
      <c r="D5" s="2">
        <f t="shared" ref="D5:D68" si="0">C5/8</f>
        <v>-1.9</v>
      </c>
    </row>
    <row r="6" spans="1:4">
      <c r="A6" s="8">
        <v>43391</v>
      </c>
      <c r="B6" s="2" t="s">
        <v>28</v>
      </c>
      <c r="C6" s="2">
        <v>0.5</v>
      </c>
      <c r="D6" s="2">
        <f t="shared" si="0"/>
        <v>0.0625</v>
      </c>
    </row>
    <row r="7" spans="1:4">
      <c r="A7" s="8">
        <v>43418</v>
      </c>
      <c r="B7" s="2" t="s">
        <v>28</v>
      </c>
      <c r="C7" s="2">
        <v>0.5</v>
      </c>
      <c r="D7" s="2">
        <f t="shared" si="0"/>
        <v>0.0625</v>
      </c>
    </row>
    <row r="8" spans="1:4">
      <c r="A8" s="8">
        <v>43536</v>
      </c>
      <c r="B8" s="2" t="s">
        <v>29</v>
      </c>
      <c r="C8" s="2">
        <v>0.25</v>
      </c>
      <c r="D8" s="2">
        <f t="shared" si="0"/>
        <v>0.03125</v>
      </c>
    </row>
    <row r="9" spans="1:4">
      <c r="A9" s="8">
        <v>43549</v>
      </c>
      <c r="B9" s="2" t="s">
        <v>29</v>
      </c>
      <c r="C9" s="2">
        <v>0.5</v>
      </c>
      <c r="D9" s="2">
        <f t="shared" si="0"/>
        <v>0.0625</v>
      </c>
    </row>
    <row r="10" spans="1:4">
      <c r="A10" s="8">
        <v>43550</v>
      </c>
      <c r="B10" s="2" t="s">
        <v>29</v>
      </c>
      <c r="C10" s="2">
        <v>0.5</v>
      </c>
      <c r="D10" s="2">
        <f t="shared" si="0"/>
        <v>0.0625</v>
      </c>
    </row>
    <row r="11" spans="1:4">
      <c r="A11" s="8">
        <v>43551</v>
      </c>
      <c r="B11" s="2" t="s">
        <v>29</v>
      </c>
      <c r="C11" s="2">
        <v>0.5</v>
      </c>
      <c r="D11" s="2">
        <f t="shared" si="0"/>
        <v>0.0625</v>
      </c>
    </row>
    <row r="12" spans="1:4">
      <c r="A12" s="8">
        <v>43558</v>
      </c>
      <c r="B12" s="2" t="s">
        <v>29</v>
      </c>
      <c r="C12" s="2">
        <v>0.5</v>
      </c>
      <c r="D12" s="2">
        <f t="shared" si="0"/>
        <v>0.0625</v>
      </c>
    </row>
    <row r="13" spans="1:4">
      <c r="A13" s="8">
        <v>43564</v>
      </c>
      <c r="B13" s="2" t="s">
        <v>27</v>
      </c>
      <c r="C13" s="2">
        <v>0.25</v>
      </c>
      <c r="D13" s="2">
        <f t="shared" si="0"/>
        <v>0.03125</v>
      </c>
    </row>
    <row r="14" spans="1:4">
      <c r="A14" s="8">
        <v>43566</v>
      </c>
      <c r="B14" s="2" t="s">
        <v>27</v>
      </c>
      <c r="C14" s="2">
        <v>0.5</v>
      </c>
      <c r="D14" s="2">
        <f t="shared" si="0"/>
        <v>0.0625</v>
      </c>
    </row>
    <row r="15" spans="1:4">
      <c r="A15" s="8">
        <v>43570</v>
      </c>
      <c r="B15" s="2" t="s">
        <v>29</v>
      </c>
      <c r="C15" s="2">
        <v>0.5</v>
      </c>
      <c r="D15" s="2">
        <f t="shared" si="0"/>
        <v>0.0625</v>
      </c>
    </row>
    <row r="16" spans="1:4">
      <c r="A16" s="8">
        <v>43572</v>
      </c>
      <c r="B16" s="2" t="s">
        <v>29</v>
      </c>
      <c r="C16" s="2">
        <v>0.5</v>
      </c>
      <c r="D16" s="2">
        <f t="shared" si="0"/>
        <v>0.0625</v>
      </c>
    </row>
    <row r="17" spans="1:4">
      <c r="A17" s="8"/>
      <c r="D17" s="2">
        <f t="shared" si="0"/>
        <v>0</v>
      </c>
    </row>
    <row r="18" spans="1:4">
      <c r="A18" s="8"/>
      <c r="D18" s="2">
        <f t="shared" si="0"/>
        <v>0</v>
      </c>
    </row>
    <row r="19" spans="4:4">
      <c r="D19" s="2">
        <f t="shared" si="0"/>
        <v>0</v>
      </c>
    </row>
    <row r="20" spans="4:4">
      <c r="D20" s="2">
        <f t="shared" si="0"/>
        <v>0</v>
      </c>
    </row>
    <row r="21" spans="4:4">
      <c r="D21" s="2">
        <f t="shared" si="0"/>
        <v>0</v>
      </c>
    </row>
    <row r="22" spans="4:4">
      <c r="D22" s="2">
        <f t="shared" si="0"/>
        <v>0</v>
      </c>
    </row>
    <row r="23" spans="4:4">
      <c r="D23" s="2">
        <f t="shared" si="0"/>
        <v>0</v>
      </c>
    </row>
    <row r="24" spans="4:4">
      <c r="D24" s="2">
        <f t="shared" si="0"/>
        <v>0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si="0"/>
        <v>0</v>
      </c>
    </row>
    <row r="69" spans="4:4">
      <c r="D69" s="2">
        <f t="shared" ref="D69:D80" si="1">C69/8</f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  <row r="80" spans="4:4">
      <c r="D80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80"/>
  <sheetViews>
    <sheetView workbookViewId="0">
      <selection activeCell="A22" sqref="$A22:$XFD22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42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9">
      <c r="A4" s="8">
        <v>43269</v>
      </c>
      <c r="B4" s="2" t="s">
        <v>27</v>
      </c>
      <c r="C4" s="2">
        <v>60</v>
      </c>
      <c r="D4" s="2">
        <f>C4/8</f>
        <v>7.5</v>
      </c>
      <c r="E4" s="2">
        <v>1.2</v>
      </c>
      <c r="F4" s="2" t="s">
        <v>39</v>
      </c>
      <c r="I4" s="2" t="s">
        <v>40</v>
      </c>
    </row>
    <row r="5" spans="1:4">
      <c r="A5" s="8">
        <v>43326</v>
      </c>
      <c r="B5" s="2" t="s">
        <v>25</v>
      </c>
      <c r="C5" s="2">
        <v>-18</v>
      </c>
      <c r="D5" s="2">
        <f t="shared" ref="D5:D68" si="0">C5/8</f>
        <v>-2.25</v>
      </c>
    </row>
    <row r="6" spans="1:4">
      <c r="A6" s="8">
        <v>43332</v>
      </c>
      <c r="B6" s="2" t="s">
        <v>27</v>
      </c>
      <c r="C6" s="2">
        <v>0.5</v>
      </c>
      <c r="D6" s="2">
        <f t="shared" si="0"/>
        <v>0.0625</v>
      </c>
    </row>
    <row r="7" spans="1:4">
      <c r="A7" s="8">
        <v>43332</v>
      </c>
      <c r="B7" s="2" t="s">
        <v>26</v>
      </c>
      <c r="C7" s="2">
        <v>-15.2</v>
      </c>
      <c r="D7" s="2">
        <f t="shared" si="0"/>
        <v>-1.9</v>
      </c>
    </row>
    <row r="8" spans="1:4">
      <c r="A8" s="8">
        <v>43363</v>
      </c>
      <c r="B8" s="2" t="s">
        <v>27</v>
      </c>
      <c r="C8" s="2">
        <v>2</v>
      </c>
      <c r="D8" s="2">
        <f t="shared" si="0"/>
        <v>0.25</v>
      </c>
    </row>
    <row r="9" spans="1:4">
      <c r="A9" s="8">
        <v>43370</v>
      </c>
      <c r="B9" s="2" t="s">
        <v>28</v>
      </c>
      <c r="C9" s="2">
        <v>0.5</v>
      </c>
      <c r="D9" s="2">
        <f t="shared" si="0"/>
        <v>0.0625</v>
      </c>
    </row>
    <row r="10" spans="1:4">
      <c r="A10" s="8">
        <v>43391</v>
      </c>
      <c r="B10" s="2" t="s">
        <v>28</v>
      </c>
      <c r="C10" s="2">
        <v>0.5</v>
      </c>
      <c r="D10" s="2">
        <f t="shared" si="0"/>
        <v>0.0625</v>
      </c>
    </row>
    <row r="11" spans="1:4">
      <c r="A11" s="8">
        <v>43418</v>
      </c>
      <c r="B11" s="2" t="s">
        <v>28</v>
      </c>
      <c r="C11" s="2">
        <v>0.5</v>
      </c>
      <c r="D11" s="2">
        <f t="shared" si="0"/>
        <v>0.0625</v>
      </c>
    </row>
    <row r="12" spans="1:4">
      <c r="A12" s="8">
        <v>43513</v>
      </c>
      <c r="B12" s="2" t="s">
        <v>27</v>
      </c>
      <c r="C12" s="2">
        <v>24</v>
      </c>
      <c r="D12" s="2">
        <f t="shared" si="0"/>
        <v>3</v>
      </c>
    </row>
    <row r="13" spans="1:4">
      <c r="A13" s="8">
        <v>43520</v>
      </c>
      <c r="B13" s="2" t="s">
        <v>29</v>
      </c>
      <c r="C13" s="2">
        <v>0.25</v>
      </c>
      <c r="D13" s="2">
        <f t="shared" si="0"/>
        <v>0.03125</v>
      </c>
    </row>
    <row r="14" spans="1:4">
      <c r="A14" s="8">
        <v>43536</v>
      </c>
      <c r="B14" s="2" t="s">
        <v>29</v>
      </c>
      <c r="C14" s="2">
        <v>0.25</v>
      </c>
      <c r="D14" s="2">
        <f t="shared" si="0"/>
        <v>0.03125</v>
      </c>
    </row>
    <row r="15" spans="1:4">
      <c r="A15" s="8">
        <v>43549</v>
      </c>
      <c r="B15" s="2" t="s">
        <v>29</v>
      </c>
      <c r="C15" s="2">
        <v>0.5</v>
      </c>
      <c r="D15" s="2">
        <f t="shared" si="0"/>
        <v>0.0625</v>
      </c>
    </row>
    <row r="16" spans="1:4">
      <c r="A16" s="8">
        <v>43550</v>
      </c>
      <c r="B16" s="2" t="s">
        <v>29</v>
      </c>
      <c r="C16" s="2">
        <v>0.5</v>
      </c>
      <c r="D16" s="2">
        <f t="shared" si="0"/>
        <v>0.0625</v>
      </c>
    </row>
    <row r="17" spans="1:4">
      <c r="A17" s="8">
        <v>43551</v>
      </c>
      <c r="B17" s="2" t="s">
        <v>29</v>
      </c>
      <c r="C17" s="2">
        <v>0.5</v>
      </c>
      <c r="D17" s="2">
        <f t="shared" si="0"/>
        <v>0.0625</v>
      </c>
    </row>
    <row r="18" spans="1:4">
      <c r="A18" s="8">
        <v>43558</v>
      </c>
      <c r="B18" s="2" t="s">
        <v>29</v>
      </c>
      <c r="C18" s="2">
        <v>0.5</v>
      </c>
      <c r="D18" s="2">
        <f t="shared" si="0"/>
        <v>0.0625</v>
      </c>
    </row>
    <row r="19" spans="1:4">
      <c r="A19" s="8">
        <v>43564</v>
      </c>
      <c r="B19" s="2" t="s">
        <v>27</v>
      </c>
      <c r="C19" s="2">
        <v>0.25</v>
      </c>
      <c r="D19" s="2">
        <f t="shared" si="0"/>
        <v>0.03125</v>
      </c>
    </row>
    <row r="20" spans="1:4">
      <c r="A20" s="8">
        <v>43566</v>
      </c>
      <c r="B20" s="2" t="s">
        <v>27</v>
      </c>
      <c r="C20" s="2">
        <v>0.5</v>
      </c>
      <c r="D20" s="2">
        <f t="shared" si="0"/>
        <v>0.0625</v>
      </c>
    </row>
    <row r="21" spans="1:4">
      <c r="A21" s="8">
        <v>43570</v>
      </c>
      <c r="B21" s="2" t="s">
        <v>29</v>
      </c>
      <c r="C21" s="2">
        <v>0.25</v>
      </c>
      <c r="D21" s="2">
        <f t="shared" si="0"/>
        <v>0.03125</v>
      </c>
    </row>
    <row r="22" spans="1:4">
      <c r="A22" s="8">
        <v>43572</v>
      </c>
      <c r="B22" s="2" t="s">
        <v>29</v>
      </c>
      <c r="C22" s="2">
        <v>0.5</v>
      </c>
      <c r="D22" s="2">
        <f t="shared" si="0"/>
        <v>0.0625</v>
      </c>
    </row>
    <row r="23" spans="4:4">
      <c r="D23" s="2">
        <f t="shared" si="0"/>
        <v>0</v>
      </c>
    </row>
    <row r="24" spans="4:4">
      <c r="D24" s="2">
        <f t="shared" si="0"/>
        <v>0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si="0"/>
        <v>0</v>
      </c>
    </row>
    <row r="69" spans="4:4">
      <c r="D69" s="2">
        <f t="shared" ref="D69:D80" si="1">C69/8</f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  <row r="80" spans="4:4">
      <c r="D80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80"/>
  <sheetViews>
    <sheetView workbookViewId="0">
      <selection activeCell="A9" sqref="$A9:$XFD9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43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9">
      <c r="A4" s="8">
        <v>43320</v>
      </c>
      <c r="B4" s="2" t="s">
        <v>25</v>
      </c>
      <c r="C4" s="2">
        <v>-12</v>
      </c>
      <c r="D4" s="2">
        <f>C4/8</f>
        <v>-1.5</v>
      </c>
      <c r="I4" s="2">
        <v>1</v>
      </c>
    </row>
    <row r="5" spans="1:4">
      <c r="A5" s="8">
        <v>43326</v>
      </c>
      <c r="B5" s="2" t="s">
        <v>25</v>
      </c>
      <c r="C5" s="2">
        <v>1</v>
      </c>
      <c r="D5" s="2">
        <f>C5/8</f>
        <v>0.125</v>
      </c>
    </row>
    <row r="6" spans="1:9">
      <c r="A6" s="8">
        <v>43332</v>
      </c>
      <c r="B6" s="2" t="s">
        <v>26</v>
      </c>
      <c r="C6" s="2">
        <v>-15.2</v>
      </c>
      <c r="D6" s="2">
        <f>C6/8</f>
        <v>-1.9</v>
      </c>
      <c r="I6" s="2" t="s">
        <v>53</v>
      </c>
    </row>
    <row r="7" spans="1:4">
      <c r="A7" s="8">
        <v>43392</v>
      </c>
      <c r="B7" s="2" t="s">
        <v>28</v>
      </c>
      <c r="C7" s="2">
        <v>0.5</v>
      </c>
      <c r="D7" s="2">
        <f>C7/8</f>
        <v>0.0625</v>
      </c>
    </row>
    <row r="8" spans="1:4">
      <c r="A8" s="8">
        <v>43418</v>
      </c>
      <c r="B8" s="2" t="s">
        <v>28</v>
      </c>
      <c r="C8" s="2">
        <v>0.5</v>
      </c>
      <c r="D8" s="2">
        <f>C8/8</f>
        <v>0.0625</v>
      </c>
    </row>
    <row r="9" spans="1:1">
      <c r="A9" s="8"/>
    </row>
    <row r="10" spans="4:4">
      <c r="D10" s="2">
        <f t="shared" ref="D10:D41" si="0">C10/8</f>
        <v>0</v>
      </c>
    </row>
    <row r="11" spans="4:4">
      <c r="D11" s="2">
        <f t="shared" si="0"/>
        <v>0</v>
      </c>
    </row>
    <row r="12" spans="4:4">
      <c r="D12" s="2">
        <f t="shared" si="0"/>
        <v>0</v>
      </c>
    </row>
    <row r="13" spans="4:4">
      <c r="D13" s="2">
        <f t="shared" si="0"/>
        <v>0</v>
      </c>
    </row>
    <row r="14" spans="4:4">
      <c r="D14" s="2">
        <f t="shared" si="0"/>
        <v>0</v>
      </c>
    </row>
    <row r="15" spans="4:4">
      <c r="D15" s="2">
        <f t="shared" si="0"/>
        <v>0</v>
      </c>
    </row>
    <row r="16" spans="1:4">
      <c r="A16" s="8"/>
      <c r="D16" s="2">
        <f t="shared" si="0"/>
        <v>0</v>
      </c>
    </row>
    <row r="17" spans="1:4">
      <c r="A17" s="8"/>
      <c r="D17" s="2">
        <f t="shared" si="0"/>
        <v>0</v>
      </c>
    </row>
    <row r="18" spans="1:4">
      <c r="A18" s="8"/>
      <c r="D18" s="2">
        <f t="shared" si="0"/>
        <v>0</v>
      </c>
    </row>
    <row r="19" spans="4:4">
      <c r="D19" s="2">
        <f t="shared" si="0"/>
        <v>0</v>
      </c>
    </row>
    <row r="20" spans="4:4">
      <c r="D20" s="2">
        <f t="shared" si="0"/>
        <v>0</v>
      </c>
    </row>
    <row r="21" spans="4:4">
      <c r="D21" s="2">
        <f t="shared" si="0"/>
        <v>0</v>
      </c>
    </row>
    <row r="22" spans="4:4">
      <c r="D22" s="2">
        <f t="shared" si="0"/>
        <v>0</v>
      </c>
    </row>
    <row r="23" spans="4:4">
      <c r="D23" s="2">
        <f t="shared" si="0"/>
        <v>0</v>
      </c>
    </row>
    <row r="24" spans="4:4">
      <c r="D24" s="2">
        <f t="shared" si="0"/>
        <v>0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ref="D42:D68" si="1">C42/8</f>
        <v>0</v>
      </c>
    </row>
    <row r="43" spans="4:4">
      <c r="D43" s="2">
        <f t="shared" si="1"/>
        <v>0</v>
      </c>
    </row>
    <row r="44" spans="4:4">
      <c r="D44" s="2">
        <f t="shared" si="1"/>
        <v>0</v>
      </c>
    </row>
    <row r="45" spans="4:4">
      <c r="D45" s="2">
        <f t="shared" si="1"/>
        <v>0</v>
      </c>
    </row>
    <row r="46" spans="4:4">
      <c r="D46" s="2">
        <f t="shared" si="1"/>
        <v>0</v>
      </c>
    </row>
    <row r="47" spans="4:4">
      <c r="D47" s="2">
        <f t="shared" si="1"/>
        <v>0</v>
      </c>
    </row>
    <row r="48" spans="4:4">
      <c r="D48" s="2">
        <f t="shared" si="1"/>
        <v>0</v>
      </c>
    </row>
    <row r="49" spans="4:4">
      <c r="D49" s="2">
        <f t="shared" si="1"/>
        <v>0</v>
      </c>
    </row>
    <row r="50" spans="4:4">
      <c r="D50" s="2">
        <f t="shared" si="1"/>
        <v>0</v>
      </c>
    </row>
    <row r="51" spans="4:4">
      <c r="D51" s="2">
        <f t="shared" si="1"/>
        <v>0</v>
      </c>
    </row>
    <row r="52" spans="4:4">
      <c r="D52" s="2">
        <f t="shared" si="1"/>
        <v>0</v>
      </c>
    </row>
    <row r="53" spans="4:4">
      <c r="D53" s="2">
        <f t="shared" si="1"/>
        <v>0</v>
      </c>
    </row>
    <row r="54" spans="4:4">
      <c r="D54" s="2">
        <f t="shared" si="1"/>
        <v>0</v>
      </c>
    </row>
    <row r="55" spans="4:4">
      <c r="D55" s="2">
        <f t="shared" si="1"/>
        <v>0</v>
      </c>
    </row>
    <row r="56" spans="4:4">
      <c r="D56" s="2">
        <f t="shared" si="1"/>
        <v>0</v>
      </c>
    </row>
    <row r="57" spans="4:4">
      <c r="D57" s="2">
        <f t="shared" si="1"/>
        <v>0</v>
      </c>
    </row>
    <row r="58" spans="4:4">
      <c r="D58" s="2">
        <f t="shared" si="1"/>
        <v>0</v>
      </c>
    </row>
    <row r="59" spans="4:4">
      <c r="D59" s="2">
        <f t="shared" si="1"/>
        <v>0</v>
      </c>
    </row>
    <row r="60" spans="4:4">
      <c r="D60" s="2">
        <f t="shared" si="1"/>
        <v>0</v>
      </c>
    </row>
    <row r="61" spans="4:4">
      <c r="D61" s="2">
        <f t="shared" si="1"/>
        <v>0</v>
      </c>
    </row>
    <row r="62" spans="4:4">
      <c r="D62" s="2">
        <f t="shared" si="1"/>
        <v>0</v>
      </c>
    </row>
    <row r="63" spans="4:4">
      <c r="D63" s="2">
        <f t="shared" si="1"/>
        <v>0</v>
      </c>
    </row>
    <row r="64" spans="4:4">
      <c r="D64" s="2">
        <f t="shared" si="1"/>
        <v>0</v>
      </c>
    </row>
    <row r="65" spans="4:4">
      <c r="D65" s="2">
        <f t="shared" si="1"/>
        <v>0</v>
      </c>
    </row>
    <row r="66" spans="4:4">
      <c r="D66" s="2">
        <f t="shared" si="1"/>
        <v>0</v>
      </c>
    </row>
    <row r="67" spans="4:4">
      <c r="D67" s="2">
        <f t="shared" si="1"/>
        <v>0</v>
      </c>
    </row>
    <row r="68" spans="4:4">
      <c r="D68" s="2">
        <f t="shared" si="1"/>
        <v>0</v>
      </c>
    </row>
    <row r="69" spans="4:4">
      <c r="D69" s="2">
        <f t="shared" ref="D69:D80" si="2">C69/8</f>
        <v>0</v>
      </c>
    </row>
    <row r="70" spans="4:4">
      <c r="D70" s="2">
        <f t="shared" si="2"/>
        <v>0</v>
      </c>
    </row>
    <row r="71" spans="4:4">
      <c r="D71" s="2">
        <f t="shared" si="2"/>
        <v>0</v>
      </c>
    </row>
    <row r="72" spans="4:4">
      <c r="D72" s="2">
        <f t="shared" si="2"/>
        <v>0</v>
      </c>
    </row>
    <row r="73" spans="4:4">
      <c r="D73" s="2">
        <f t="shared" si="2"/>
        <v>0</v>
      </c>
    </row>
    <row r="74" spans="4:4">
      <c r="D74" s="2">
        <f t="shared" si="2"/>
        <v>0</v>
      </c>
    </row>
    <row r="75" spans="4:4">
      <c r="D75" s="2">
        <f t="shared" si="2"/>
        <v>0</v>
      </c>
    </row>
    <row r="76" spans="4:4">
      <c r="D76" s="2">
        <f t="shared" si="2"/>
        <v>0</v>
      </c>
    </row>
    <row r="77" spans="4:4">
      <c r="D77" s="2">
        <f t="shared" si="2"/>
        <v>0</v>
      </c>
    </row>
    <row r="78" spans="4:4">
      <c r="D78" s="2">
        <f t="shared" si="2"/>
        <v>0</v>
      </c>
    </row>
    <row r="79" spans="4:4">
      <c r="D79" s="2">
        <f t="shared" si="2"/>
        <v>0</v>
      </c>
    </row>
    <row r="80" spans="4:4">
      <c r="D80" s="2">
        <f t="shared" si="2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80"/>
  <sheetViews>
    <sheetView workbookViewId="0">
      <selection activeCell="A23" sqref="$A23:$XFD23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44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9">
      <c r="A4" s="8">
        <v>43269</v>
      </c>
      <c r="B4" s="2" t="s">
        <v>27</v>
      </c>
      <c r="C4" s="2">
        <v>68</v>
      </c>
      <c r="D4" s="2">
        <f>C4/8</f>
        <v>8.5</v>
      </c>
      <c r="E4" s="2">
        <v>0.8</v>
      </c>
      <c r="F4" s="2" t="s">
        <v>36</v>
      </c>
      <c r="I4" s="2" t="s">
        <v>54</v>
      </c>
    </row>
    <row r="5" spans="1:4">
      <c r="A5" s="8">
        <v>43320</v>
      </c>
      <c r="B5" s="2" t="s">
        <v>25</v>
      </c>
      <c r="C5" s="2">
        <v>-16</v>
      </c>
      <c r="D5" s="2">
        <f t="shared" ref="D5:D68" si="0">C5/8</f>
        <v>-2</v>
      </c>
    </row>
    <row r="6" spans="1:4">
      <c r="A6" s="8">
        <v>43332</v>
      </c>
      <c r="B6" s="2" t="s">
        <v>26</v>
      </c>
      <c r="C6" s="2">
        <v>-15.2</v>
      </c>
      <c r="D6" s="2">
        <f t="shared" si="0"/>
        <v>-1.9</v>
      </c>
    </row>
    <row r="7" spans="1:9">
      <c r="A7" s="8">
        <v>43363</v>
      </c>
      <c r="B7" s="2" t="s">
        <v>27</v>
      </c>
      <c r="C7" s="2">
        <v>4</v>
      </c>
      <c r="D7" s="2">
        <f t="shared" si="0"/>
        <v>0.5</v>
      </c>
      <c r="I7" s="2" t="s">
        <v>55</v>
      </c>
    </row>
    <row r="8" spans="1:4">
      <c r="A8" s="8">
        <v>43371</v>
      </c>
      <c r="B8" s="2" t="s">
        <v>28</v>
      </c>
      <c r="C8" s="2">
        <v>0.5</v>
      </c>
      <c r="D8" s="2">
        <f t="shared" si="0"/>
        <v>0.0625</v>
      </c>
    </row>
    <row r="9" spans="1:4">
      <c r="A9" s="8">
        <v>43392</v>
      </c>
      <c r="B9" s="2" t="s">
        <v>28</v>
      </c>
      <c r="C9" s="2">
        <v>0.5</v>
      </c>
      <c r="D9" s="2">
        <f t="shared" si="0"/>
        <v>0.0625</v>
      </c>
    </row>
    <row r="10" spans="1:4">
      <c r="A10" s="8">
        <v>43418</v>
      </c>
      <c r="B10" s="2" t="s">
        <v>28</v>
      </c>
      <c r="C10" s="2">
        <v>0.5</v>
      </c>
      <c r="D10" s="2">
        <f t="shared" si="0"/>
        <v>0.0625</v>
      </c>
    </row>
    <row r="11" spans="1:4">
      <c r="A11" s="8">
        <v>43475</v>
      </c>
      <c r="B11" s="2" t="s">
        <v>28</v>
      </c>
      <c r="C11" s="2">
        <v>0.25</v>
      </c>
      <c r="D11" s="2">
        <f t="shared" si="0"/>
        <v>0.03125</v>
      </c>
    </row>
    <row r="12" spans="1:4">
      <c r="A12" s="8">
        <v>43495</v>
      </c>
      <c r="B12" s="2" t="s">
        <v>28</v>
      </c>
      <c r="C12" s="2">
        <v>0.5</v>
      </c>
      <c r="D12" s="2">
        <f t="shared" si="0"/>
        <v>0.0625</v>
      </c>
    </row>
    <row r="13" spans="1:4">
      <c r="A13" s="8">
        <v>43513</v>
      </c>
      <c r="B13" s="2" t="s">
        <v>27</v>
      </c>
      <c r="C13" s="2">
        <v>0.5</v>
      </c>
      <c r="D13" s="2">
        <f t="shared" si="0"/>
        <v>0.0625</v>
      </c>
    </row>
    <row r="14" spans="1:4">
      <c r="A14" s="8">
        <v>43536</v>
      </c>
      <c r="B14" s="2" t="s">
        <v>29</v>
      </c>
      <c r="C14" s="2">
        <v>0.25</v>
      </c>
      <c r="D14" s="2">
        <f t="shared" si="0"/>
        <v>0.03125</v>
      </c>
    </row>
    <row r="15" spans="1:4">
      <c r="A15" s="8">
        <v>43549</v>
      </c>
      <c r="B15" s="2" t="s">
        <v>29</v>
      </c>
      <c r="C15" s="2">
        <v>0.5</v>
      </c>
      <c r="D15" s="2">
        <f t="shared" si="0"/>
        <v>0.0625</v>
      </c>
    </row>
    <row r="16" spans="1:4">
      <c r="A16" s="8">
        <v>43550</v>
      </c>
      <c r="B16" s="2" t="s">
        <v>29</v>
      </c>
      <c r="C16" s="2">
        <v>0.5</v>
      </c>
      <c r="D16" s="2">
        <f t="shared" si="0"/>
        <v>0.0625</v>
      </c>
    </row>
    <row r="17" spans="1:4">
      <c r="A17" s="8">
        <v>43551</v>
      </c>
      <c r="B17" s="2" t="s">
        <v>29</v>
      </c>
      <c r="C17" s="2">
        <v>0.5</v>
      </c>
      <c r="D17" s="2">
        <f t="shared" si="0"/>
        <v>0.0625</v>
      </c>
    </row>
    <row r="18" spans="1:4">
      <c r="A18" s="8">
        <v>43552</v>
      </c>
      <c r="B18" s="2" t="s">
        <v>29</v>
      </c>
      <c r="C18" s="2">
        <v>8</v>
      </c>
      <c r="D18" s="2">
        <f t="shared" si="0"/>
        <v>1</v>
      </c>
    </row>
    <row r="19" spans="1:4">
      <c r="A19" s="8">
        <v>43558</v>
      </c>
      <c r="B19" s="2" t="s">
        <v>29</v>
      </c>
      <c r="C19" s="2">
        <v>0.5</v>
      </c>
      <c r="D19" s="2">
        <f t="shared" si="0"/>
        <v>0.0625</v>
      </c>
    </row>
    <row r="20" spans="1:4">
      <c r="A20" s="8">
        <v>43564</v>
      </c>
      <c r="B20" s="2" t="s">
        <v>27</v>
      </c>
      <c r="C20" s="2">
        <v>0.25</v>
      </c>
      <c r="D20" s="2">
        <f t="shared" si="0"/>
        <v>0.03125</v>
      </c>
    </row>
    <row r="21" spans="1:4">
      <c r="A21" s="8">
        <v>43566</v>
      </c>
      <c r="B21" s="2" t="s">
        <v>27</v>
      </c>
      <c r="C21" s="2">
        <v>0.25</v>
      </c>
      <c r="D21" s="2">
        <f t="shared" si="0"/>
        <v>0.03125</v>
      </c>
    </row>
    <row r="22" spans="1:4">
      <c r="A22" s="8">
        <v>43570</v>
      </c>
      <c r="B22" s="2" t="s">
        <v>29</v>
      </c>
      <c r="C22" s="2">
        <v>0.5</v>
      </c>
      <c r="D22" s="2">
        <f t="shared" si="0"/>
        <v>0.0625</v>
      </c>
    </row>
    <row r="23" spans="1:4">
      <c r="A23" s="8">
        <v>43572</v>
      </c>
      <c r="B23" s="2" t="s">
        <v>29</v>
      </c>
      <c r="C23" s="2">
        <v>0.5</v>
      </c>
      <c r="D23" s="2">
        <f t="shared" si="0"/>
        <v>0.0625</v>
      </c>
    </row>
    <row r="24" spans="4:4">
      <c r="D24" s="2">
        <f t="shared" si="0"/>
        <v>0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si="0"/>
        <v>0</v>
      </c>
    </row>
    <row r="69" spans="4:4">
      <c r="D69" s="2">
        <f t="shared" ref="D69:D80" si="1">C69/8</f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  <row r="80" spans="4:4">
      <c r="D80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80"/>
  <sheetViews>
    <sheetView workbookViewId="0">
      <selection activeCell="A23" sqref="$A23:$XFD23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45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9">
      <c r="A4" s="8">
        <v>43269</v>
      </c>
      <c r="B4" s="2" t="s">
        <v>27</v>
      </c>
      <c r="C4" s="2">
        <v>73</v>
      </c>
      <c r="D4" s="2">
        <f>C4/8</f>
        <v>9.125</v>
      </c>
      <c r="E4" s="2">
        <v>1.2</v>
      </c>
      <c r="F4" s="2" t="s">
        <v>39</v>
      </c>
      <c r="I4" s="2" t="s">
        <v>40</v>
      </c>
    </row>
    <row r="5" spans="1:4">
      <c r="A5" s="8">
        <v>43320</v>
      </c>
      <c r="B5" s="2" t="s">
        <v>25</v>
      </c>
      <c r="C5" s="2">
        <v>-32</v>
      </c>
      <c r="D5" s="2">
        <f t="shared" ref="D5:D68" si="0">C5/8</f>
        <v>-4</v>
      </c>
    </row>
    <row r="6" spans="1:4">
      <c r="A6" s="8">
        <v>43326</v>
      </c>
      <c r="B6" s="2" t="s">
        <v>25</v>
      </c>
      <c r="C6" s="2">
        <v>0.25</v>
      </c>
      <c r="D6" s="2">
        <f t="shared" si="0"/>
        <v>0.03125</v>
      </c>
    </row>
    <row r="7" spans="1:4">
      <c r="A7" s="8">
        <v>43332</v>
      </c>
      <c r="B7" s="2" t="s">
        <v>26</v>
      </c>
      <c r="C7" s="2">
        <v>-15.2</v>
      </c>
      <c r="D7" s="2">
        <f t="shared" si="0"/>
        <v>-1.9</v>
      </c>
    </row>
    <row r="8" spans="1:4">
      <c r="A8" s="8">
        <v>43363</v>
      </c>
      <c r="B8" s="2" t="s">
        <v>27</v>
      </c>
      <c r="C8" s="2">
        <v>2</v>
      </c>
      <c r="D8" s="2">
        <f t="shared" si="0"/>
        <v>0.25</v>
      </c>
    </row>
    <row r="9" spans="1:4">
      <c r="A9" s="8">
        <v>43371</v>
      </c>
      <c r="B9" s="2" t="s">
        <v>28</v>
      </c>
      <c r="C9" s="2">
        <v>0.5</v>
      </c>
      <c r="D9" s="2">
        <f t="shared" si="0"/>
        <v>0.0625</v>
      </c>
    </row>
    <row r="10" spans="1:4">
      <c r="A10" s="8">
        <v>43392</v>
      </c>
      <c r="B10" s="2" t="s">
        <v>28</v>
      </c>
      <c r="C10" s="2">
        <v>0.5</v>
      </c>
      <c r="D10" s="2">
        <f t="shared" si="0"/>
        <v>0.0625</v>
      </c>
    </row>
    <row r="11" spans="1:4">
      <c r="A11" s="8">
        <v>43418</v>
      </c>
      <c r="B11" s="2" t="s">
        <v>28</v>
      </c>
      <c r="C11" s="2">
        <v>0.25</v>
      </c>
      <c r="D11" s="2">
        <f t="shared" si="0"/>
        <v>0.03125</v>
      </c>
    </row>
    <row r="12" spans="1:4">
      <c r="A12" s="8">
        <v>43495</v>
      </c>
      <c r="B12" s="2" t="s">
        <v>28</v>
      </c>
      <c r="C12" s="2">
        <v>0.25</v>
      </c>
      <c r="D12" s="2">
        <f t="shared" si="0"/>
        <v>0.03125</v>
      </c>
    </row>
    <row r="13" spans="1:4">
      <c r="A13" s="8">
        <v>43513</v>
      </c>
      <c r="B13" s="2" t="s">
        <v>27</v>
      </c>
      <c r="C13" s="2">
        <v>0.25</v>
      </c>
      <c r="D13" s="2">
        <f t="shared" si="0"/>
        <v>0.03125</v>
      </c>
    </row>
    <row r="14" spans="1:4">
      <c r="A14" s="8">
        <v>43520</v>
      </c>
      <c r="B14" s="2" t="s">
        <v>29</v>
      </c>
      <c r="C14" s="2">
        <v>0.25</v>
      </c>
      <c r="D14" s="2">
        <f t="shared" si="0"/>
        <v>0.03125</v>
      </c>
    </row>
    <row r="15" spans="1:4">
      <c r="A15" s="8">
        <v>43536</v>
      </c>
      <c r="B15" s="2" t="s">
        <v>29</v>
      </c>
      <c r="C15" s="2">
        <v>0.25</v>
      </c>
      <c r="D15" s="2">
        <f t="shared" si="0"/>
        <v>0.03125</v>
      </c>
    </row>
    <row r="16" spans="1:4">
      <c r="A16" s="8">
        <v>43549</v>
      </c>
      <c r="B16" s="2" t="s">
        <v>29</v>
      </c>
      <c r="C16" s="2">
        <v>0.5</v>
      </c>
      <c r="D16" s="2">
        <f t="shared" si="0"/>
        <v>0.0625</v>
      </c>
    </row>
    <row r="17" spans="1:4">
      <c r="A17" s="8">
        <v>43550</v>
      </c>
      <c r="B17" s="2" t="s">
        <v>29</v>
      </c>
      <c r="C17" s="2">
        <v>0.5</v>
      </c>
      <c r="D17" s="2">
        <f t="shared" si="0"/>
        <v>0.0625</v>
      </c>
    </row>
    <row r="18" spans="1:4">
      <c r="A18" s="8">
        <v>43551</v>
      </c>
      <c r="B18" s="2" t="s">
        <v>29</v>
      </c>
      <c r="C18" s="2">
        <v>0.5</v>
      </c>
      <c r="D18" s="2">
        <f t="shared" si="0"/>
        <v>0.0625</v>
      </c>
    </row>
    <row r="19" spans="1:4">
      <c r="A19" s="8">
        <v>43558</v>
      </c>
      <c r="B19" s="2" t="s">
        <v>29</v>
      </c>
      <c r="C19" s="2">
        <v>0.5</v>
      </c>
      <c r="D19" s="2">
        <f t="shared" si="0"/>
        <v>0.0625</v>
      </c>
    </row>
    <row r="20" spans="1:4">
      <c r="A20" s="8">
        <v>43564</v>
      </c>
      <c r="B20" s="2" t="s">
        <v>27</v>
      </c>
      <c r="C20" s="2">
        <v>0.25</v>
      </c>
      <c r="D20" s="2">
        <f t="shared" si="0"/>
        <v>0.03125</v>
      </c>
    </row>
    <row r="21" spans="1:4">
      <c r="A21" s="8">
        <v>43566</v>
      </c>
      <c r="B21" s="2" t="s">
        <v>27</v>
      </c>
      <c r="C21" s="2">
        <v>0.25</v>
      </c>
      <c r="D21" s="2">
        <f t="shared" si="0"/>
        <v>0.03125</v>
      </c>
    </row>
    <row r="22" spans="1:4">
      <c r="A22" s="8">
        <v>43570</v>
      </c>
      <c r="B22" s="2" t="s">
        <v>29</v>
      </c>
      <c r="C22" s="2">
        <v>0.5</v>
      </c>
      <c r="D22" s="2">
        <f t="shared" si="0"/>
        <v>0.0625</v>
      </c>
    </row>
    <row r="23" spans="1:4">
      <c r="A23" s="8">
        <v>43572</v>
      </c>
      <c r="B23" s="2" t="s">
        <v>29</v>
      </c>
      <c r="C23" s="2">
        <v>0.5</v>
      </c>
      <c r="D23" s="2">
        <f t="shared" si="0"/>
        <v>0.0625</v>
      </c>
    </row>
    <row r="24" spans="4:4">
      <c r="D24" s="2">
        <f t="shared" si="0"/>
        <v>0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si="0"/>
        <v>0</v>
      </c>
    </row>
    <row r="69" spans="4:4">
      <c r="D69" s="2">
        <f t="shared" ref="D69:D80" si="1">C69/8</f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  <row r="80" spans="4:4">
      <c r="D80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80"/>
  <sheetViews>
    <sheetView workbookViewId="0">
      <selection activeCell="A24" sqref="$A24:$XFD24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46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9">
      <c r="A4" s="8">
        <v>43255</v>
      </c>
      <c r="B4" s="2" t="s">
        <v>27</v>
      </c>
      <c r="C4" s="2">
        <v>58</v>
      </c>
      <c r="D4" s="2">
        <f>C4/8</f>
        <v>7.25</v>
      </c>
      <c r="I4" s="2" t="s">
        <v>56</v>
      </c>
    </row>
    <row r="5" spans="1:4">
      <c r="A5" s="8">
        <v>43320</v>
      </c>
      <c r="B5" s="2" t="s">
        <v>25</v>
      </c>
      <c r="C5" s="2">
        <v>-28</v>
      </c>
      <c r="D5" s="2">
        <f t="shared" ref="D5:D68" si="0">C5/8</f>
        <v>-3.5</v>
      </c>
    </row>
    <row r="6" spans="1:4">
      <c r="A6" s="8">
        <v>43326</v>
      </c>
      <c r="B6" s="2" t="s">
        <v>25</v>
      </c>
      <c r="C6" s="2">
        <v>0.25</v>
      </c>
      <c r="D6" s="2">
        <f t="shared" si="0"/>
        <v>0.03125</v>
      </c>
    </row>
    <row r="7" spans="1:4">
      <c r="A7" s="8">
        <v>43332</v>
      </c>
      <c r="B7" s="2" t="s">
        <v>26</v>
      </c>
      <c r="C7" s="2">
        <v>-15.2</v>
      </c>
      <c r="D7" s="2">
        <f t="shared" si="0"/>
        <v>-1.9</v>
      </c>
    </row>
    <row r="8" spans="1:4">
      <c r="A8" s="8">
        <v>43333</v>
      </c>
      <c r="B8" s="2" t="s">
        <v>25</v>
      </c>
      <c r="C8" s="2">
        <v>1</v>
      </c>
      <c r="D8" s="2">
        <f t="shared" si="0"/>
        <v>0.125</v>
      </c>
    </row>
    <row r="9" spans="1:4">
      <c r="A9" s="8">
        <v>43363</v>
      </c>
      <c r="B9" s="2" t="s">
        <v>27</v>
      </c>
      <c r="C9" s="2">
        <v>2</v>
      </c>
      <c r="D9" s="2">
        <f t="shared" si="0"/>
        <v>0.25</v>
      </c>
    </row>
    <row r="10" spans="1:4">
      <c r="A10" s="8">
        <v>43371</v>
      </c>
      <c r="B10" s="2" t="s">
        <v>28</v>
      </c>
      <c r="C10" s="2">
        <v>0.5</v>
      </c>
      <c r="D10" s="2">
        <f t="shared" si="0"/>
        <v>0.0625</v>
      </c>
    </row>
    <row r="11" spans="1:4">
      <c r="A11" s="8">
        <v>43392</v>
      </c>
      <c r="B11" s="2" t="s">
        <v>28</v>
      </c>
      <c r="C11" s="2">
        <v>0.5</v>
      </c>
      <c r="D11" s="2">
        <f t="shared" si="0"/>
        <v>0.0625</v>
      </c>
    </row>
    <row r="12" spans="1:4">
      <c r="A12" s="8">
        <v>43475</v>
      </c>
      <c r="B12" s="2" t="s">
        <v>28</v>
      </c>
      <c r="C12" s="2">
        <v>0.25</v>
      </c>
      <c r="D12" s="2">
        <f t="shared" si="0"/>
        <v>0.03125</v>
      </c>
    </row>
    <row r="13" spans="1:4">
      <c r="A13" s="8">
        <v>43495</v>
      </c>
      <c r="B13" s="2" t="s">
        <v>28</v>
      </c>
      <c r="C13" s="2">
        <v>0.25</v>
      </c>
      <c r="D13" s="2">
        <f t="shared" si="0"/>
        <v>0.03125</v>
      </c>
    </row>
    <row r="14" spans="1:4">
      <c r="A14" s="8">
        <v>43513</v>
      </c>
      <c r="B14" s="2" t="s">
        <v>27</v>
      </c>
      <c r="C14" s="2">
        <v>0.25</v>
      </c>
      <c r="D14" s="2">
        <f t="shared" si="0"/>
        <v>0.03125</v>
      </c>
    </row>
    <row r="15" spans="1:4">
      <c r="A15" s="8">
        <v>43520</v>
      </c>
      <c r="B15" s="2" t="s">
        <v>29</v>
      </c>
      <c r="C15" s="2">
        <v>0.25</v>
      </c>
      <c r="D15" s="2">
        <f t="shared" si="0"/>
        <v>0.03125</v>
      </c>
    </row>
    <row r="16" spans="1:4">
      <c r="A16" s="8">
        <v>43536</v>
      </c>
      <c r="B16" s="2" t="s">
        <v>29</v>
      </c>
      <c r="C16" s="2">
        <v>0.25</v>
      </c>
      <c r="D16" s="2">
        <f t="shared" si="0"/>
        <v>0.03125</v>
      </c>
    </row>
    <row r="17" spans="1:4">
      <c r="A17" s="8">
        <v>43549</v>
      </c>
      <c r="B17" s="2" t="s">
        <v>29</v>
      </c>
      <c r="C17" s="2">
        <v>0.5</v>
      </c>
      <c r="D17" s="2">
        <f t="shared" si="0"/>
        <v>0.0625</v>
      </c>
    </row>
    <row r="18" spans="1:4">
      <c r="A18" s="8">
        <v>43550</v>
      </c>
      <c r="B18" s="2" t="s">
        <v>29</v>
      </c>
      <c r="C18" s="2">
        <v>0.5</v>
      </c>
      <c r="D18" s="2">
        <f t="shared" si="0"/>
        <v>0.0625</v>
      </c>
    </row>
    <row r="19" spans="1:4">
      <c r="A19" s="8">
        <v>43551</v>
      </c>
      <c r="B19" s="2" t="s">
        <v>29</v>
      </c>
      <c r="C19" s="2">
        <v>0.5</v>
      </c>
      <c r="D19" s="2">
        <f t="shared" si="0"/>
        <v>0.0625</v>
      </c>
    </row>
    <row r="20" spans="1:4">
      <c r="A20" s="8">
        <v>43558</v>
      </c>
      <c r="B20" s="2" t="s">
        <v>29</v>
      </c>
      <c r="C20" s="2">
        <v>0.5</v>
      </c>
      <c r="D20" s="2">
        <f t="shared" si="0"/>
        <v>0.0625</v>
      </c>
    </row>
    <row r="21" spans="1:4">
      <c r="A21" s="8">
        <v>43564</v>
      </c>
      <c r="B21" s="2" t="s">
        <v>27</v>
      </c>
      <c r="C21" s="2">
        <v>0.25</v>
      </c>
      <c r="D21" s="2">
        <f t="shared" si="0"/>
        <v>0.03125</v>
      </c>
    </row>
    <row r="22" spans="1:4">
      <c r="A22" s="8">
        <v>43566</v>
      </c>
      <c r="B22" s="2" t="s">
        <v>27</v>
      </c>
      <c r="C22" s="2">
        <v>0.25</v>
      </c>
      <c r="D22" s="2">
        <f t="shared" si="0"/>
        <v>0.03125</v>
      </c>
    </row>
    <row r="23" spans="1:4">
      <c r="A23" s="8">
        <v>43570</v>
      </c>
      <c r="B23" s="2" t="s">
        <v>29</v>
      </c>
      <c r="C23" s="2">
        <v>0.5</v>
      </c>
      <c r="D23" s="2">
        <f t="shared" si="0"/>
        <v>0.0625</v>
      </c>
    </row>
    <row r="24" spans="1:4">
      <c r="A24" s="8">
        <v>43572</v>
      </c>
      <c r="B24" s="2" t="s">
        <v>29</v>
      </c>
      <c r="C24" s="2">
        <v>0.5</v>
      </c>
      <c r="D24" s="2">
        <f t="shared" si="0"/>
        <v>0.0625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si="0"/>
        <v>0</v>
      </c>
    </row>
    <row r="69" spans="4:4">
      <c r="D69" s="2">
        <f t="shared" ref="D69:D80" si="1">C69/8</f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  <row r="80" spans="4:4">
      <c r="D80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79"/>
  <sheetViews>
    <sheetView workbookViewId="0">
      <selection activeCell="A23" sqref="$A23:$XFD23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47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4">
      <c r="A4" s="8">
        <v>43250</v>
      </c>
      <c r="B4" s="2" t="s">
        <v>27</v>
      </c>
      <c r="C4" s="2">
        <v>100</v>
      </c>
      <c r="D4" s="2">
        <f t="shared" ref="D4:D67" si="0">C4/8</f>
        <v>12.5</v>
      </c>
    </row>
    <row r="5" spans="1:9">
      <c r="A5" s="8">
        <v>43308</v>
      </c>
      <c r="B5" s="2" t="s">
        <v>25</v>
      </c>
      <c r="C5" s="2">
        <v>40</v>
      </c>
      <c r="D5" s="2">
        <f t="shared" si="0"/>
        <v>5</v>
      </c>
      <c r="I5" s="2" t="s">
        <v>32</v>
      </c>
    </row>
    <row r="6" spans="1:4">
      <c r="A6" s="8">
        <v>43320</v>
      </c>
      <c r="B6" s="2" t="s">
        <v>25</v>
      </c>
      <c r="C6" s="2">
        <v>12</v>
      </c>
      <c r="D6" s="2">
        <f t="shared" si="0"/>
        <v>1.5</v>
      </c>
    </row>
    <row r="7" spans="1:4">
      <c r="A7" s="8">
        <v>43326</v>
      </c>
      <c r="B7" s="2" t="s">
        <v>25</v>
      </c>
      <c r="C7" s="2">
        <v>2</v>
      </c>
      <c r="D7" s="2">
        <f t="shared" si="0"/>
        <v>0.25</v>
      </c>
    </row>
    <row r="8" spans="1:4">
      <c r="A8" s="8">
        <v>43332</v>
      </c>
      <c r="B8" s="2" t="s">
        <v>26</v>
      </c>
      <c r="C8" s="2">
        <v>-15.2</v>
      </c>
      <c r="D8" s="2">
        <f t="shared" si="0"/>
        <v>-1.9</v>
      </c>
    </row>
    <row r="9" spans="1:4">
      <c r="A9" s="8">
        <v>43333</v>
      </c>
      <c r="B9" s="2" t="s">
        <v>25</v>
      </c>
      <c r="C9" s="2">
        <v>2</v>
      </c>
      <c r="D9" s="2">
        <f t="shared" si="0"/>
        <v>0.25</v>
      </c>
    </row>
    <row r="10" spans="1:4">
      <c r="A10" s="8">
        <v>43363</v>
      </c>
      <c r="B10" s="2" t="s">
        <v>27</v>
      </c>
      <c r="C10" s="2">
        <v>2</v>
      </c>
      <c r="D10" s="2">
        <f t="shared" si="0"/>
        <v>0.25</v>
      </c>
    </row>
    <row r="11" spans="1:4">
      <c r="A11" s="8">
        <v>43376</v>
      </c>
      <c r="B11" s="2" t="s">
        <v>28</v>
      </c>
      <c r="C11" s="2">
        <v>0.25</v>
      </c>
      <c r="D11" s="2">
        <f t="shared" si="0"/>
        <v>0.03125</v>
      </c>
    </row>
    <row r="12" spans="1:4">
      <c r="A12" s="8">
        <v>43418</v>
      </c>
      <c r="B12" s="2" t="s">
        <v>28</v>
      </c>
      <c r="C12" s="2">
        <v>0.5</v>
      </c>
      <c r="D12" s="2">
        <f t="shared" si="0"/>
        <v>0.0625</v>
      </c>
    </row>
    <row r="13" spans="1:4">
      <c r="A13" s="8">
        <v>43475</v>
      </c>
      <c r="B13" s="2" t="s">
        <v>28</v>
      </c>
      <c r="C13" s="2">
        <v>0.25</v>
      </c>
      <c r="D13" s="2">
        <f t="shared" si="0"/>
        <v>0.03125</v>
      </c>
    </row>
    <row r="14" spans="1:4">
      <c r="A14" s="8">
        <v>43496</v>
      </c>
      <c r="B14" s="2" t="s">
        <v>28</v>
      </c>
      <c r="C14" s="2">
        <v>0.25</v>
      </c>
      <c r="D14" s="2">
        <f t="shared" si="0"/>
        <v>0.03125</v>
      </c>
    </row>
    <row r="15" spans="1:4">
      <c r="A15" s="8">
        <v>43513</v>
      </c>
      <c r="B15" s="2" t="s">
        <v>27</v>
      </c>
      <c r="C15" s="2">
        <v>0.25</v>
      </c>
      <c r="D15" s="2">
        <f t="shared" si="0"/>
        <v>0.03125</v>
      </c>
    </row>
    <row r="16" spans="1:4">
      <c r="A16" s="8">
        <v>43520</v>
      </c>
      <c r="B16" s="2" t="s">
        <v>29</v>
      </c>
      <c r="C16" s="2">
        <v>0.25</v>
      </c>
      <c r="D16" s="2">
        <f t="shared" si="0"/>
        <v>0.03125</v>
      </c>
    </row>
    <row r="17" spans="1:4">
      <c r="A17" s="8">
        <v>43536</v>
      </c>
      <c r="B17" s="2" t="s">
        <v>29</v>
      </c>
      <c r="C17" s="2">
        <v>0.25</v>
      </c>
      <c r="D17" s="2">
        <f t="shared" si="0"/>
        <v>0.03125</v>
      </c>
    </row>
    <row r="18" spans="1:4">
      <c r="A18" s="8">
        <v>43549</v>
      </c>
      <c r="B18" s="2" t="s">
        <v>29</v>
      </c>
      <c r="C18" s="2">
        <v>0.25</v>
      </c>
      <c r="D18" s="2">
        <f t="shared" si="0"/>
        <v>0.03125</v>
      </c>
    </row>
    <row r="19" spans="1:4">
      <c r="A19" s="8">
        <v>43550</v>
      </c>
      <c r="B19" s="2" t="s">
        <v>29</v>
      </c>
      <c r="C19" s="2">
        <v>0.25</v>
      </c>
      <c r="D19" s="2">
        <f t="shared" si="0"/>
        <v>0.03125</v>
      </c>
    </row>
    <row r="20" spans="1:4">
      <c r="A20" s="8">
        <v>43564</v>
      </c>
      <c r="B20" s="2" t="s">
        <v>27</v>
      </c>
      <c r="C20" s="2">
        <v>0.25</v>
      </c>
      <c r="D20" s="2">
        <f t="shared" si="0"/>
        <v>0.03125</v>
      </c>
    </row>
    <row r="21" spans="1:4">
      <c r="A21" s="8">
        <v>43566</v>
      </c>
      <c r="B21" s="2" t="s">
        <v>27</v>
      </c>
      <c r="C21" s="2">
        <v>0.5</v>
      </c>
      <c r="D21" s="2">
        <f t="shared" si="0"/>
        <v>0.0625</v>
      </c>
    </row>
    <row r="22" spans="1:4">
      <c r="A22" s="8">
        <v>43570</v>
      </c>
      <c r="B22" s="2" t="s">
        <v>29</v>
      </c>
      <c r="C22" s="2">
        <v>0.25</v>
      </c>
      <c r="D22" s="2">
        <f t="shared" si="0"/>
        <v>0.03125</v>
      </c>
    </row>
    <row r="23" spans="1:4">
      <c r="A23" s="8">
        <v>43572</v>
      </c>
      <c r="B23" s="2" t="s">
        <v>29</v>
      </c>
      <c r="C23" s="2">
        <v>0.25</v>
      </c>
      <c r="D23" s="2">
        <f t="shared" si="0"/>
        <v>0.03125</v>
      </c>
    </row>
    <row r="24" spans="4:4">
      <c r="D24" s="2">
        <f t="shared" si="0"/>
        <v>0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ref="D68:D79" si="1">C68/8</f>
        <v>0</v>
      </c>
    </row>
    <row r="69" spans="4:4">
      <c r="D69" s="2">
        <f t="shared" si="1"/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80"/>
  <sheetViews>
    <sheetView workbookViewId="0">
      <selection activeCell="A23" sqref="$A23:$XFD23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48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9">
      <c r="A4" s="8">
        <v>43269</v>
      </c>
      <c r="B4" s="2" t="s">
        <v>27</v>
      </c>
      <c r="C4" s="2">
        <v>98</v>
      </c>
      <c r="D4" s="2">
        <f>C4/8</f>
        <v>12.25</v>
      </c>
      <c r="E4" s="2">
        <v>1.6</v>
      </c>
      <c r="F4" s="2" t="s">
        <v>39</v>
      </c>
      <c r="I4" s="2" t="s">
        <v>57</v>
      </c>
    </row>
    <row r="5" spans="1:9">
      <c r="A5" s="8">
        <v>43308</v>
      </c>
      <c r="B5" s="2" t="s">
        <v>25</v>
      </c>
      <c r="C5" s="2">
        <v>-8</v>
      </c>
      <c r="D5" s="2">
        <f t="shared" ref="D5:D68" si="0">C5/8</f>
        <v>-1</v>
      </c>
      <c r="I5" s="2" t="s">
        <v>32</v>
      </c>
    </row>
    <row r="6" spans="1:4">
      <c r="A6" s="8">
        <v>43320</v>
      </c>
      <c r="B6" s="2" t="s">
        <v>25</v>
      </c>
      <c r="C6" s="2">
        <v>44</v>
      </c>
      <c r="D6" s="2">
        <f t="shared" si="0"/>
        <v>5.5</v>
      </c>
    </row>
    <row r="7" spans="1:9">
      <c r="A7" s="8">
        <v>43326</v>
      </c>
      <c r="B7" s="2" t="s">
        <v>25</v>
      </c>
      <c r="C7" s="2">
        <v>40</v>
      </c>
      <c r="D7" s="2">
        <f t="shared" si="0"/>
        <v>5</v>
      </c>
      <c r="I7" s="2" t="s">
        <v>58</v>
      </c>
    </row>
    <row r="8" spans="1:4">
      <c r="A8" s="8">
        <v>43332</v>
      </c>
      <c r="B8" s="2" t="s">
        <v>26</v>
      </c>
      <c r="C8" s="2">
        <v>-15.2</v>
      </c>
      <c r="D8" s="2">
        <f t="shared" si="0"/>
        <v>-1.9</v>
      </c>
    </row>
    <row r="9" spans="1:4">
      <c r="A9" s="8">
        <v>43363</v>
      </c>
      <c r="B9" s="2" t="s">
        <v>27</v>
      </c>
      <c r="C9" s="2">
        <v>1</v>
      </c>
      <c r="D9" s="2">
        <f t="shared" si="0"/>
        <v>0.125</v>
      </c>
    </row>
    <row r="10" spans="1:4">
      <c r="A10" s="8">
        <v>43376</v>
      </c>
      <c r="B10" s="2" t="s">
        <v>28</v>
      </c>
      <c r="C10" s="2">
        <v>0.5</v>
      </c>
      <c r="D10" s="2">
        <f t="shared" si="0"/>
        <v>0.0625</v>
      </c>
    </row>
    <row r="11" spans="1:4">
      <c r="A11" s="8">
        <v>43405</v>
      </c>
      <c r="B11" s="2" t="s">
        <v>28</v>
      </c>
      <c r="C11" s="2">
        <v>0.5</v>
      </c>
      <c r="D11" s="2">
        <f t="shared" si="0"/>
        <v>0.0625</v>
      </c>
    </row>
    <row r="12" spans="1:4">
      <c r="A12" s="8">
        <v>43418</v>
      </c>
      <c r="B12" s="2" t="s">
        <v>28</v>
      </c>
      <c r="C12" s="2">
        <v>0.5</v>
      </c>
      <c r="D12" s="2">
        <f t="shared" si="0"/>
        <v>0.0625</v>
      </c>
    </row>
    <row r="13" spans="1:4">
      <c r="A13" s="8">
        <v>43475</v>
      </c>
      <c r="B13" s="2" t="s">
        <v>28</v>
      </c>
      <c r="C13" s="2">
        <v>0.25</v>
      </c>
      <c r="D13" s="2">
        <f t="shared" si="0"/>
        <v>0.03125</v>
      </c>
    </row>
    <row r="14" spans="1:4">
      <c r="A14" s="8">
        <v>43496</v>
      </c>
      <c r="B14" s="2" t="s">
        <v>28</v>
      </c>
      <c r="C14" s="2">
        <v>0.25</v>
      </c>
      <c r="D14" s="2">
        <f t="shared" si="0"/>
        <v>0.03125</v>
      </c>
    </row>
    <row r="15" spans="1:4">
      <c r="A15" s="8">
        <v>43513</v>
      </c>
      <c r="B15" s="2" t="s">
        <v>27</v>
      </c>
      <c r="C15" s="2">
        <v>0.25</v>
      </c>
      <c r="D15" s="2">
        <f t="shared" si="0"/>
        <v>0.03125</v>
      </c>
    </row>
    <row r="16" spans="1:4">
      <c r="A16" s="8">
        <v>43520</v>
      </c>
      <c r="B16" s="2" t="s">
        <v>29</v>
      </c>
      <c r="C16" s="2">
        <v>0.25</v>
      </c>
      <c r="D16" s="2">
        <f t="shared" si="0"/>
        <v>0.03125</v>
      </c>
    </row>
    <row r="17" spans="1:4">
      <c r="A17" s="8">
        <v>43536</v>
      </c>
      <c r="B17" s="2" t="s">
        <v>29</v>
      </c>
      <c r="C17" s="2">
        <v>0.25</v>
      </c>
      <c r="D17" s="2">
        <f t="shared" si="0"/>
        <v>0.03125</v>
      </c>
    </row>
    <row r="18" spans="1:4">
      <c r="A18" s="8">
        <v>43549</v>
      </c>
      <c r="B18" s="2" t="s">
        <v>29</v>
      </c>
      <c r="C18" s="2">
        <v>0.25</v>
      </c>
      <c r="D18" s="2">
        <f t="shared" si="0"/>
        <v>0.03125</v>
      </c>
    </row>
    <row r="19" spans="1:4">
      <c r="A19" s="8">
        <v>43550</v>
      </c>
      <c r="B19" s="2" t="s">
        <v>29</v>
      </c>
      <c r="C19" s="2">
        <v>0.25</v>
      </c>
      <c r="D19" s="2">
        <f t="shared" si="0"/>
        <v>0.03125</v>
      </c>
    </row>
    <row r="20" spans="1:4">
      <c r="A20" s="8">
        <v>43564</v>
      </c>
      <c r="B20" s="2" t="s">
        <v>27</v>
      </c>
      <c r="C20" s="2">
        <v>0.25</v>
      </c>
      <c r="D20" s="2">
        <f t="shared" si="0"/>
        <v>0.03125</v>
      </c>
    </row>
    <row r="21" spans="1:4">
      <c r="A21" s="8">
        <v>43566</v>
      </c>
      <c r="B21" s="2" t="s">
        <v>27</v>
      </c>
      <c r="C21" s="2">
        <v>0.5</v>
      </c>
      <c r="D21" s="2">
        <f t="shared" si="0"/>
        <v>0.0625</v>
      </c>
    </row>
    <row r="22" spans="1:4">
      <c r="A22" s="8">
        <v>43570</v>
      </c>
      <c r="B22" s="2" t="s">
        <v>29</v>
      </c>
      <c r="C22" s="2">
        <v>0.25</v>
      </c>
      <c r="D22" s="2">
        <f t="shared" si="0"/>
        <v>0.03125</v>
      </c>
    </row>
    <row r="23" spans="1:4">
      <c r="A23" s="8">
        <v>43572</v>
      </c>
      <c r="B23" s="2" t="s">
        <v>29</v>
      </c>
      <c r="C23" s="2">
        <v>0.25</v>
      </c>
      <c r="D23" s="2">
        <f t="shared" si="0"/>
        <v>0.03125</v>
      </c>
    </row>
    <row r="24" spans="4:4">
      <c r="D24" s="2">
        <f t="shared" si="0"/>
        <v>0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si="0"/>
        <v>0</v>
      </c>
    </row>
    <row r="69" spans="4:4">
      <c r="D69" s="2">
        <f t="shared" ref="D69:D80" si="1">C69/8</f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  <row r="80" spans="4:4">
      <c r="D80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80"/>
  <sheetViews>
    <sheetView workbookViewId="0">
      <selection activeCell="A8" sqref="$A8:$XFD8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49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9">
      <c r="A4" s="8">
        <v>43269</v>
      </c>
      <c r="B4" s="2" t="s">
        <v>27</v>
      </c>
      <c r="C4" s="2">
        <v>90</v>
      </c>
      <c r="D4" s="2">
        <f>C4/8</f>
        <v>11.25</v>
      </c>
      <c r="E4" s="2">
        <v>1.4</v>
      </c>
      <c r="F4" s="2" t="s">
        <v>39</v>
      </c>
      <c r="I4" s="2" t="s">
        <v>40</v>
      </c>
    </row>
    <row r="5" spans="1:4">
      <c r="A5" s="8">
        <v>43320</v>
      </c>
      <c r="B5" s="2" t="s">
        <v>25</v>
      </c>
      <c r="C5" s="2">
        <v>-32</v>
      </c>
      <c r="D5" s="2">
        <f t="shared" ref="D5:D68" si="0">C5/8</f>
        <v>-4</v>
      </c>
    </row>
    <row r="6" spans="1:4">
      <c r="A6" s="8">
        <v>43332</v>
      </c>
      <c r="B6" s="2" t="s">
        <v>26</v>
      </c>
      <c r="C6" s="2">
        <v>-15.2</v>
      </c>
      <c r="D6" s="2">
        <f t="shared" si="0"/>
        <v>-1.9</v>
      </c>
    </row>
    <row r="7" spans="1:4">
      <c r="A7" s="8">
        <v>43513</v>
      </c>
      <c r="B7" s="2" t="s">
        <v>27</v>
      </c>
      <c r="C7" s="2">
        <v>0.25</v>
      </c>
      <c r="D7" s="2">
        <f t="shared" si="0"/>
        <v>0.03125</v>
      </c>
    </row>
    <row r="8" spans="1:4">
      <c r="A8" s="8"/>
      <c r="D8" s="2">
        <f t="shared" si="0"/>
        <v>0</v>
      </c>
    </row>
    <row r="9" spans="4:4">
      <c r="D9" s="2">
        <f t="shared" si="0"/>
        <v>0</v>
      </c>
    </row>
    <row r="10" spans="4:4">
      <c r="D10" s="2">
        <f t="shared" si="0"/>
        <v>0</v>
      </c>
    </row>
    <row r="11" spans="4:4">
      <c r="D11" s="2">
        <f t="shared" si="0"/>
        <v>0</v>
      </c>
    </row>
    <row r="12" spans="4:4">
      <c r="D12" s="2">
        <f t="shared" si="0"/>
        <v>0</v>
      </c>
    </row>
    <row r="13" spans="4:4">
      <c r="D13" s="2">
        <f t="shared" si="0"/>
        <v>0</v>
      </c>
    </row>
    <row r="14" spans="4:4">
      <c r="D14" s="2">
        <f t="shared" si="0"/>
        <v>0</v>
      </c>
    </row>
    <row r="15" spans="4:4">
      <c r="D15" s="2">
        <f t="shared" si="0"/>
        <v>0</v>
      </c>
    </row>
    <row r="16" spans="1:4">
      <c r="A16" s="8"/>
      <c r="D16" s="2">
        <f t="shared" si="0"/>
        <v>0</v>
      </c>
    </row>
    <row r="17" spans="1:4">
      <c r="A17" s="8"/>
      <c r="D17" s="2">
        <f t="shared" si="0"/>
        <v>0</v>
      </c>
    </row>
    <row r="18" spans="1:4">
      <c r="A18" s="8"/>
      <c r="D18" s="2">
        <f t="shared" si="0"/>
        <v>0</v>
      </c>
    </row>
    <row r="19" spans="4:4">
      <c r="D19" s="2">
        <f t="shared" si="0"/>
        <v>0</v>
      </c>
    </row>
    <row r="20" spans="4:4">
      <c r="D20" s="2">
        <f t="shared" si="0"/>
        <v>0</v>
      </c>
    </row>
    <row r="21" spans="4:4">
      <c r="D21" s="2">
        <f t="shared" si="0"/>
        <v>0</v>
      </c>
    </row>
    <row r="22" spans="4:4">
      <c r="D22" s="2">
        <f t="shared" si="0"/>
        <v>0</v>
      </c>
    </row>
    <row r="23" spans="4:4">
      <c r="D23" s="2">
        <f t="shared" si="0"/>
        <v>0</v>
      </c>
    </row>
    <row r="24" spans="4:4">
      <c r="D24" s="2">
        <f t="shared" si="0"/>
        <v>0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si="0"/>
        <v>0</v>
      </c>
    </row>
    <row r="69" spans="4:4">
      <c r="D69" s="2">
        <f t="shared" ref="D69:D80" si="1">C69/8</f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  <row r="80" spans="4:4">
      <c r="D80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80"/>
  <sheetViews>
    <sheetView workbookViewId="0">
      <selection activeCell="A19" sqref="$A19:$XFD19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50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9">
      <c r="A4" s="8">
        <v>43269</v>
      </c>
      <c r="B4" s="2" t="s">
        <v>27</v>
      </c>
      <c r="C4" s="2">
        <v>65</v>
      </c>
      <c r="D4" s="2">
        <f>C4/8</f>
        <v>8.125</v>
      </c>
      <c r="E4" s="2">
        <v>1.1</v>
      </c>
      <c r="F4" s="2" t="s">
        <v>39</v>
      </c>
      <c r="I4" s="2" t="s">
        <v>40</v>
      </c>
    </row>
    <row r="5" spans="1:4">
      <c r="A5" s="8">
        <v>43326</v>
      </c>
      <c r="B5" s="2" t="s">
        <v>25</v>
      </c>
      <c r="C5" s="2">
        <v>-16</v>
      </c>
      <c r="D5" s="2">
        <f t="shared" ref="D5:D68" si="0">C5/8</f>
        <v>-2</v>
      </c>
    </row>
    <row r="6" spans="1:4">
      <c r="A6" s="8">
        <v>43332</v>
      </c>
      <c r="B6" s="2" t="s">
        <v>26</v>
      </c>
      <c r="C6" s="2">
        <v>-15.2</v>
      </c>
      <c r="D6" s="2">
        <f t="shared" si="0"/>
        <v>-1.9</v>
      </c>
    </row>
    <row r="7" spans="1:4">
      <c r="A7" s="8">
        <v>43363</v>
      </c>
      <c r="B7" s="2" t="s">
        <v>27</v>
      </c>
      <c r="C7" s="2">
        <v>1</v>
      </c>
      <c r="D7" s="2">
        <f t="shared" si="0"/>
        <v>0.125</v>
      </c>
    </row>
    <row r="8" spans="1:4">
      <c r="A8" s="8">
        <v>43371</v>
      </c>
      <c r="B8" s="2" t="s">
        <v>28</v>
      </c>
      <c r="C8" s="2">
        <v>0.5</v>
      </c>
      <c r="D8" s="2">
        <f t="shared" si="0"/>
        <v>0.0625</v>
      </c>
    </row>
    <row r="9" spans="1:4">
      <c r="A9" s="8">
        <v>43376</v>
      </c>
      <c r="B9" s="2" t="s">
        <v>28</v>
      </c>
      <c r="C9" s="2">
        <v>0.5</v>
      </c>
      <c r="D9" s="2">
        <f t="shared" si="0"/>
        <v>0.0625</v>
      </c>
    </row>
    <row r="10" spans="1:9">
      <c r="A10" s="8">
        <v>43381</v>
      </c>
      <c r="B10" s="2" t="s">
        <v>28</v>
      </c>
      <c r="C10" s="2">
        <v>0</v>
      </c>
      <c r="D10" s="2">
        <f t="shared" si="0"/>
        <v>0</v>
      </c>
      <c r="I10" s="2" t="s">
        <v>59</v>
      </c>
    </row>
    <row r="11" spans="1:4">
      <c r="A11" s="8">
        <v>43405</v>
      </c>
      <c r="B11" s="2" t="s">
        <v>28</v>
      </c>
      <c r="C11" s="2">
        <v>0.5</v>
      </c>
      <c r="D11" s="2">
        <f t="shared" si="0"/>
        <v>0.0625</v>
      </c>
    </row>
    <row r="12" spans="1:4">
      <c r="A12" s="8">
        <v>43513</v>
      </c>
      <c r="B12" s="2" t="s">
        <v>27</v>
      </c>
      <c r="C12" s="2">
        <v>0.25</v>
      </c>
      <c r="D12" s="2">
        <f t="shared" si="0"/>
        <v>0.03125</v>
      </c>
    </row>
    <row r="13" spans="1:4">
      <c r="A13" s="8">
        <v>43520</v>
      </c>
      <c r="B13" s="2" t="s">
        <v>29</v>
      </c>
      <c r="C13" s="2">
        <v>0.25</v>
      </c>
      <c r="D13" s="2">
        <f t="shared" si="0"/>
        <v>0.03125</v>
      </c>
    </row>
    <row r="14" spans="1:4">
      <c r="A14" s="8">
        <v>43536</v>
      </c>
      <c r="B14" s="2" t="s">
        <v>29</v>
      </c>
      <c r="C14" s="2">
        <v>0.25</v>
      </c>
      <c r="D14" s="2">
        <f t="shared" si="0"/>
        <v>0.03125</v>
      </c>
    </row>
    <row r="15" spans="1:4">
      <c r="A15" s="8">
        <v>43549</v>
      </c>
      <c r="B15" s="2" t="s">
        <v>29</v>
      </c>
      <c r="C15" s="2">
        <v>0.25</v>
      </c>
      <c r="D15" s="2">
        <f t="shared" si="0"/>
        <v>0.03125</v>
      </c>
    </row>
    <row r="16" spans="1:4">
      <c r="A16" s="8">
        <v>43550</v>
      </c>
      <c r="B16" s="2" t="s">
        <v>29</v>
      </c>
      <c r="C16" s="2">
        <v>0.25</v>
      </c>
      <c r="D16" s="2">
        <f t="shared" si="0"/>
        <v>0.03125</v>
      </c>
    </row>
    <row r="17" spans="1:4">
      <c r="A17" s="8">
        <v>43564</v>
      </c>
      <c r="B17" s="2" t="s">
        <v>27</v>
      </c>
      <c r="C17" s="2">
        <v>0.25</v>
      </c>
      <c r="D17" s="2">
        <f t="shared" si="0"/>
        <v>0.03125</v>
      </c>
    </row>
    <row r="18" spans="1:4">
      <c r="A18" s="8">
        <v>43566</v>
      </c>
      <c r="B18" s="2" t="s">
        <v>27</v>
      </c>
      <c r="C18" s="2">
        <v>0.25</v>
      </c>
      <c r="D18" s="2">
        <f t="shared" si="0"/>
        <v>0.03125</v>
      </c>
    </row>
    <row r="19" spans="1:4">
      <c r="A19" s="8">
        <v>43572</v>
      </c>
      <c r="B19" s="2" t="s">
        <v>29</v>
      </c>
      <c r="C19" s="2">
        <v>0.25</v>
      </c>
      <c r="D19" s="2">
        <f t="shared" si="0"/>
        <v>0.03125</v>
      </c>
    </row>
    <row r="20" spans="4:4">
      <c r="D20" s="2">
        <f t="shared" si="0"/>
        <v>0</v>
      </c>
    </row>
    <row r="21" spans="4:4">
      <c r="D21" s="2">
        <f t="shared" si="0"/>
        <v>0</v>
      </c>
    </row>
    <row r="22" spans="4:4">
      <c r="D22" s="2">
        <f t="shared" si="0"/>
        <v>0</v>
      </c>
    </row>
    <row r="23" spans="4:4">
      <c r="D23" s="2">
        <f t="shared" si="0"/>
        <v>0</v>
      </c>
    </row>
    <row r="24" spans="4:4">
      <c r="D24" s="2">
        <f t="shared" si="0"/>
        <v>0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si="0"/>
        <v>0</v>
      </c>
    </row>
    <row r="69" spans="4:4">
      <c r="D69" s="2">
        <f t="shared" ref="D69:D80" si="1">C69/8</f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  <row r="80" spans="4:4">
      <c r="D80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79"/>
  <sheetViews>
    <sheetView workbookViewId="0">
      <selection activeCell="A23" sqref="$A23:$XFD23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51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9">
      <c r="A4" s="8">
        <v>43252</v>
      </c>
      <c r="B4" s="2" t="s">
        <v>27</v>
      </c>
      <c r="C4" s="2">
        <v>103</v>
      </c>
      <c r="D4" s="2">
        <f t="shared" ref="D4:D67" si="0">C4/8</f>
        <v>12.875</v>
      </c>
      <c r="I4" s="2" t="s">
        <v>47</v>
      </c>
    </row>
    <row r="5" spans="1:4">
      <c r="A5" s="8">
        <v>43312</v>
      </c>
      <c r="B5" s="2" t="s">
        <v>25</v>
      </c>
      <c r="C5" s="2">
        <v>48</v>
      </c>
      <c r="D5" s="2">
        <f t="shared" si="0"/>
        <v>6</v>
      </c>
    </row>
    <row r="6" spans="1:4">
      <c r="A6" s="8">
        <v>43320</v>
      </c>
      <c r="B6" s="2" t="s">
        <v>25</v>
      </c>
      <c r="C6" s="2">
        <v>10</v>
      </c>
      <c r="D6" s="2">
        <f t="shared" si="0"/>
        <v>1.25</v>
      </c>
    </row>
    <row r="7" spans="1:4">
      <c r="A7" s="8">
        <v>43326</v>
      </c>
      <c r="B7" s="2" t="s">
        <v>25</v>
      </c>
      <c r="C7" s="2">
        <v>2</v>
      </c>
      <c r="D7" s="2">
        <f t="shared" si="0"/>
        <v>0.25</v>
      </c>
    </row>
    <row r="8" spans="1:4">
      <c r="A8" s="8">
        <v>43332</v>
      </c>
      <c r="B8" s="2" t="s">
        <v>26</v>
      </c>
      <c r="C8" s="2">
        <v>-15.2</v>
      </c>
      <c r="D8" s="2">
        <f t="shared" si="0"/>
        <v>-1.9</v>
      </c>
    </row>
    <row r="9" spans="1:4">
      <c r="A9" s="8">
        <v>43363</v>
      </c>
      <c r="B9" s="2" t="s">
        <v>27</v>
      </c>
      <c r="C9" s="2">
        <v>6</v>
      </c>
      <c r="D9" s="2">
        <f t="shared" si="0"/>
        <v>0.75</v>
      </c>
    </row>
    <row r="10" spans="1:4">
      <c r="A10" s="8">
        <v>43369</v>
      </c>
      <c r="B10" s="2" t="s">
        <v>27</v>
      </c>
      <c r="C10" s="2">
        <v>0.5</v>
      </c>
      <c r="D10" s="2">
        <f t="shared" si="0"/>
        <v>0.0625</v>
      </c>
    </row>
    <row r="11" spans="1:4">
      <c r="A11" s="8">
        <v>43406</v>
      </c>
      <c r="B11" s="2" t="s">
        <v>28</v>
      </c>
      <c r="C11" s="2">
        <v>0.5</v>
      </c>
      <c r="D11" s="2">
        <f t="shared" si="0"/>
        <v>0.0625</v>
      </c>
    </row>
    <row r="12" spans="1:4">
      <c r="A12" s="8">
        <v>43418</v>
      </c>
      <c r="B12" s="2" t="s">
        <v>28</v>
      </c>
      <c r="C12" s="2">
        <v>0.5</v>
      </c>
      <c r="D12" s="2">
        <f t="shared" si="0"/>
        <v>0.0625</v>
      </c>
    </row>
    <row r="13" spans="1:4">
      <c r="A13" s="8">
        <v>43475</v>
      </c>
      <c r="B13" s="2" t="s">
        <v>28</v>
      </c>
      <c r="C13" s="2">
        <v>0.25</v>
      </c>
      <c r="D13" s="2">
        <f t="shared" si="0"/>
        <v>0.03125</v>
      </c>
    </row>
    <row r="14" spans="1:4">
      <c r="A14" s="8">
        <v>43496</v>
      </c>
      <c r="B14" s="2" t="s">
        <v>28</v>
      </c>
      <c r="C14" s="2">
        <v>0.25</v>
      </c>
      <c r="D14" s="2">
        <f t="shared" si="0"/>
        <v>0.03125</v>
      </c>
    </row>
    <row r="15" spans="1:4">
      <c r="A15" s="8">
        <v>43513</v>
      </c>
      <c r="B15" s="2" t="s">
        <v>27</v>
      </c>
      <c r="C15" s="2">
        <v>0.25</v>
      </c>
      <c r="D15" s="2">
        <f t="shared" si="0"/>
        <v>0.03125</v>
      </c>
    </row>
    <row r="16" spans="1:4">
      <c r="A16" s="8">
        <v>43520</v>
      </c>
      <c r="B16" s="2" t="s">
        <v>29</v>
      </c>
      <c r="C16" s="2">
        <v>0.25</v>
      </c>
      <c r="D16" s="2">
        <f t="shared" si="0"/>
        <v>0.03125</v>
      </c>
    </row>
    <row r="17" spans="1:4">
      <c r="A17" s="8">
        <v>43536</v>
      </c>
      <c r="B17" s="2" t="s">
        <v>29</v>
      </c>
      <c r="C17" s="2">
        <v>0.25</v>
      </c>
      <c r="D17" s="2">
        <f t="shared" si="0"/>
        <v>0.03125</v>
      </c>
    </row>
    <row r="18" spans="1:4">
      <c r="A18" s="8">
        <v>43549</v>
      </c>
      <c r="B18" s="2" t="s">
        <v>29</v>
      </c>
      <c r="C18" s="2">
        <v>0.25</v>
      </c>
      <c r="D18" s="2">
        <f t="shared" si="0"/>
        <v>0.03125</v>
      </c>
    </row>
    <row r="19" spans="1:4">
      <c r="A19" s="8">
        <v>43550</v>
      </c>
      <c r="B19" s="2" t="s">
        <v>29</v>
      </c>
      <c r="C19" s="2">
        <v>0.25</v>
      </c>
      <c r="D19" s="2">
        <f t="shared" si="0"/>
        <v>0.03125</v>
      </c>
    </row>
    <row r="20" spans="1:4">
      <c r="A20" s="8">
        <v>43564</v>
      </c>
      <c r="B20" s="2" t="s">
        <v>27</v>
      </c>
      <c r="C20" s="2">
        <v>0.25</v>
      </c>
      <c r="D20" s="2">
        <f t="shared" si="0"/>
        <v>0.03125</v>
      </c>
    </row>
    <row r="21" spans="1:4">
      <c r="A21" s="8">
        <v>43566</v>
      </c>
      <c r="B21" s="2" t="s">
        <v>27</v>
      </c>
      <c r="C21" s="2">
        <v>0.25</v>
      </c>
      <c r="D21" s="2">
        <f t="shared" si="0"/>
        <v>0.03125</v>
      </c>
    </row>
    <row r="22" spans="1:4">
      <c r="A22" s="8">
        <v>43570</v>
      </c>
      <c r="B22" s="2" t="s">
        <v>29</v>
      </c>
      <c r="C22" s="2">
        <v>0.25</v>
      </c>
      <c r="D22" s="2">
        <f t="shared" si="0"/>
        <v>0.03125</v>
      </c>
    </row>
    <row r="23" spans="1:4">
      <c r="A23" s="8">
        <v>43572</v>
      </c>
      <c r="B23" s="2" t="s">
        <v>29</v>
      </c>
      <c r="C23" s="2">
        <v>0.25</v>
      </c>
      <c r="D23" s="2">
        <f t="shared" si="0"/>
        <v>0.03125</v>
      </c>
    </row>
    <row r="24" spans="4:4">
      <c r="D24" s="2">
        <f t="shared" si="0"/>
        <v>0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ref="D68:D79" si="1">C68/8</f>
        <v>0</v>
      </c>
    </row>
    <row r="69" spans="4:4">
      <c r="D69" s="2">
        <f t="shared" si="1"/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80"/>
  <sheetViews>
    <sheetView workbookViewId="0">
      <selection activeCell="A26" sqref="$A26:$XFD26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52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9">
      <c r="A4" s="8">
        <v>43256</v>
      </c>
      <c r="B4" s="2" t="s">
        <v>27</v>
      </c>
      <c r="C4" s="2">
        <v>87</v>
      </c>
      <c r="D4" s="2">
        <f>C4/8</f>
        <v>10.875</v>
      </c>
      <c r="I4" s="2" t="s">
        <v>60</v>
      </c>
    </row>
    <row r="5" spans="1:9">
      <c r="A5" s="8">
        <v>43269</v>
      </c>
      <c r="B5" s="2" t="s">
        <v>27</v>
      </c>
      <c r="C5" s="2">
        <v>66</v>
      </c>
      <c r="D5" s="2">
        <f t="shared" ref="D5:D68" si="0">C5/8</f>
        <v>8.25</v>
      </c>
      <c r="E5" s="2">
        <v>0.9</v>
      </c>
      <c r="F5" s="2" t="s">
        <v>36</v>
      </c>
      <c r="I5" s="2" t="s">
        <v>61</v>
      </c>
    </row>
    <row r="6" spans="1:4">
      <c r="A6" s="8">
        <v>43312</v>
      </c>
      <c r="B6" s="2" t="s">
        <v>25</v>
      </c>
      <c r="C6" s="2">
        <v>8</v>
      </c>
      <c r="D6" s="2">
        <f t="shared" si="0"/>
        <v>1</v>
      </c>
    </row>
    <row r="7" spans="1:4">
      <c r="A7" s="8">
        <v>43320</v>
      </c>
      <c r="B7" s="2" t="s">
        <v>25</v>
      </c>
      <c r="C7" s="2">
        <v>12</v>
      </c>
      <c r="D7" s="2">
        <f t="shared" si="0"/>
        <v>1.5</v>
      </c>
    </row>
    <row r="8" spans="1:4">
      <c r="A8" s="8">
        <v>43326</v>
      </c>
      <c r="B8" s="2" t="s">
        <v>25</v>
      </c>
      <c r="C8" s="2">
        <v>2</v>
      </c>
      <c r="D8" s="2">
        <f t="shared" si="0"/>
        <v>0.25</v>
      </c>
    </row>
    <row r="9" spans="1:4">
      <c r="A9" s="8">
        <v>43332</v>
      </c>
      <c r="B9" s="2" t="s">
        <v>26</v>
      </c>
      <c r="C9" s="2">
        <v>-15.2</v>
      </c>
      <c r="D9" s="2">
        <f t="shared" si="0"/>
        <v>-1.9</v>
      </c>
    </row>
    <row r="10" spans="1:4">
      <c r="A10" s="8">
        <v>43333</v>
      </c>
      <c r="B10" s="2" t="s">
        <v>25</v>
      </c>
      <c r="C10" s="2">
        <v>0.5</v>
      </c>
      <c r="D10" s="2">
        <f t="shared" si="0"/>
        <v>0.0625</v>
      </c>
    </row>
    <row r="11" spans="1:4">
      <c r="A11" s="8">
        <v>43363</v>
      </c>
      <c r="B11" s="2" t="s">
        <v>27</v>
      </c>
      <c r="C11" s="2">
        <v>6</v>
      </c>
      <c r="D11" s="2">
        <f t="shared" si="0"/>
        <v>0.75</v>
      </c>
    </row>
    <row r="12" spans="1:4">
      <c r="A12" s="8">
        <v>43369</v>
      </c>
      <c r="B12" s="2" t="s">
        <v>27</v>
      </c>
      <c r="C12" s="2">
        <v>0.5</v>
      </c>
      <c r="D12" s="2">
        <f t="shared" si="0"/>
        <v>0.0625</v>
      </c>
    </row>
    <row r="13" spans="1:4">
      <c r="A13" s="8">
        <v>43371</v>
      </c>
      <c r="B13" s="2" t="s">
        <v>28</v>
      </c>
      <c r="C13" s="2">
        <v>0.5</v>
      </c>
      <c r="D13" s="2">
        <f t="shared" si="0"/>
        <v>0.0625</v>
      </c>
    </row>
    <row r="14" spans="1:4">
      <c r="A14" s="8">
        <v>43406</v>
      </c>
      <c r="B14" s="2" t="s">
        <v>28</v>
      </c>
      <c r="C14" s="2">
        <v>0.5</v>
      </c>
      <c r="D14" s="2">
        <f t="shared" si="0"/>
        <v>0.0625</v>
      </c>
    </row>
    <row r="15" spans="1:4">
      <c r="A15" s="8">
        <v>43418</v>
      </c>
      <c r="B15" s="2" t="s">
        <v>28</v>
      </c>
      <c r="C15" s="2">
        <v>0.5</v>
      </c>
      <c r="D15" s="2">
        <f t="shared" si="0"/>
        <v>0.0625</v>
      </c>
    </row>
    <row r="16" spans="1:4">
      <c r="A16" s="8">
        <v>43475</v>
      </c>
      <c r="B16" s="2" t="s">
        <v>28</v>
      </c>
      <c r="C16" s="2">
        <v>0.25</v>
      </c>
      <c r="D16" s="2">
        <f t="shared" si="0"/>
        <v>0.03125</v>
      </c>
    </row>
    <row r="17" spans="1:4">
      <c r="A17" s="8">
        <v>43496</v>
      </c>
      <c r="B17" s="2" t="s">
        <v>28</v>
      </c>
      <c r="C17" s="2">
        <v>0.25</v>
      </c>
      <c r="D17" s="2">
        <f t="shared" si="0"/>
        <v>0.03125</v>
      </c>
    </row>
    <row r="18" spans="1:4">
      <c r="A18" s="8">
        <v>43513</v>
      </c>
      <c r="B18" s="2" t="s">
        <v>27</v>
      </c>
      <c r="C18" s="2">
        <v>0.25</v>
      </c>
      <c r="D18" s="2">
        <f t="shared" si="0"/>
        <v>0.03125</v>
      </c>
    </row>
    <row r="19" spans="1:4">
      <c r="A19" s="8">
        <v>43520</v>
      </c>
      <c r="B19" s="2" t="s">
        <v>29</v>
      </c>
      <c r="C19" s="2">
        <v>0.25</v>
      </c>
      <c r="D19" s="2">
        <f t="shared" si="0"/>
        <v>0.03125</v>
      </c>
    </row>
    <row r="20" spans="1:4">
      <c r="A20" s="8">
        <v>43536</v>
      </c>
      <c r="B20" s="2" t="s">
        <v>29</v>
      </c>
      <c r="C20" s="2">
        <v>0.25</v>
      </c>
      <c r="D20" s="2">
        <f t="shared" si="0"/>
        <v>0.03125</v>
      </c>
    </row>
    <row r="21" spans="1:4">
      <c r="A21" s="8">
        <v>43549</v>
      </c>
      <c r="B21" s="2" t="s">
        <v>29</v>
      </c>
      <c r="C21" s="2">
        <v>0.25</v>
      </c>
      <c r="D21" s="2">
        <f t="shared" si="0"/>
        <v>0.03125</v>
      </c>
    </row>
    <row r="22" spans="1:4">
      <c r="A22" s="8">
        <v>43550</v>
      </c>
      <c r="B22" s="2" t="s">
        <v>29</v>
      </c>
      <c r="C22" s="2">
        <v>0.25</v>
      </c>
      <c r="D22" s="2">
        <f t="shared" si="0"/>
        <v>0.03125</v>
      </c>
    </row>
    <row r="23" spans="1:4">
      <c r="A23" s="8">
        <v>43564</v>
      </c>
      <c r="B23" s="2" t="s">
        <v>27</v>
      </c>
      <c r="C23" s="2">
        <v>0.25</v>
      </c>
      <c r="D23" s="2">
        <f t="shared" si="0"/>
        <v>0.03125</v>
      </c>
    </row>
    <row r="24" spans="1:4">
      <c r="A24" s="8">
        <v>43566</v>
      </c>
      <c r="B24" s="2" t="s">
        <v>27</v>
      </c>
      <c r="C24" s="2">
        <v>0.5</v>
      </c>
      <c r="D24" s="2">
        <f t="shared" si="0"/>
        <v>0.0625</v>
      </c>
    </row>
    <row r="25" spans="1:4">
      <c r="A25" s="8">
        <v>43570</v>
      </c>
      <c r="B25" s="2" t="s">
        <v>29</v>
      </c>
      <c r="C25" s="2">
        <v>0.25</v>
      </c>
      <c r="D25" s="2">
        <f t="shared" si="0"/>
        <v>0.03125</v>
      </c>
    </row>
    <row r="26" spans="1:4">
      <c r="A26" s="8">
        <v>43572</v>
      </c>
      <c r="B26" s="2" t="s">
        <v>29</v>
      </c>
      <c r="C26" s="2">
        <v>0.25</v>
      </c>
      <c r="D26" s="2">
        <f t="shared" si="0"/>
        <v>0.03125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si="0"/>
        <v>0</v>
      </c>
    </row>
    <row r="69" spans="4:4">
      <c r="D69" s="2">
        <f t="shared" ref="D69:D80" si="1">C69/8</f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  <row r="80" spans="4:4">
      <c r="D80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80"/>
  <sheetViews>
    <sheetView workbookViewId="0">
      <selection activeCell="A18" sqref="$A18:$XFD18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53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9">
      <c r="A4" s="8">
        <v>43269</v>
      </c>
      <c r="B4" s="2" t="s">
        <v>27</v>
      </c>
      <c r="C4" s="2">
        <v>76</v>
      </c>
      <c r="D4" s="2">
        <f>C4/8</f>
        <v>9.5</v>
      </c>
      <c r="E4" s="2">
        <v>1.3</v>
      </c>
      <c r="F4" s="2" t="s">
        <v>39</v>
      </c>
      <c r="I4" s="2" t="s">
        <v>62</v>
      </c>
    </row>
    <row r="5" spans="1:4">
      <c r="A5" s="8">
        <v>43312</v>
      </c>
      <c r="B5" s="2" t="s">
        <v>25</v>
      </c>
      <c r="C5" s="2">
        <v>-28</v>
      </c>
      <c r="D5" s="2">
        <f t="shared" ref="D5:D68" si="0">C5/8</f>
        <v>-3.5</v>
      </c>
    </row>
    <row r="6" spans="1:4">
      <c r="A6" s="8">
        <v>43332</v>
      </c>
      <c r="B6" s="2" t="s">
        <v>26</v>
      </c>
      <c r="C6" s="2">
        <v>-15.2</v>
      </c>
      <c r="D6" s="2">
        <f t="shared" si="0"/>
        <v>-1.9</v>
      </c>
    </row>
    <row r="7" spans="1:4">
      <c r="A7" s="8">
        <v>43363</v>
      </c>
      <c r="B7" s="2" t="s">
        <v>27</v>
      </c>
      <c r="C7" s="2">
        <v>2</v>
      </c>
      <c r="D7" s="2">
        <f t="shared" si="0"/>
        <v>0.25</v>
      </c>
    </row>
    <row r="8" spans="1:4">
      <c r="A8" s="8">
        <v>43369</v>
      </c>
      <c r="B8" s="2" t="s">
        <v>27</v>
      </c>
      <c r="C8" s="2">
        <v>0.5</v>
      </c>
      <c r="D8" s="2">
        <f t="shared" si="0"/>
        <v>0.0625</v>
      </c>
    </row>
    <row r="9" spans="1:9">
      <c r="A9" s="8">
        <v>43418</v>
      </c>
      <c r="B9" s="2" t="s">
        <v>28</v>
      </c>
      <c r="C9" s="2">
        <v>0.5</v>
      </c>
      <c r="D9" s="2">
        <f t="shared" si="0"/>
        <v>0.0625</v>
      </c>
      <c r="I9" s="2" t="s">
        <v>63</v>
      </c>
    </row>
    <row r="10" spans="1:4">
      <c r="A10" s="8">
        <v>43513</v>
      </c>
      <c r="B10" s="2" t="s">
        <v>27</v>
      </c>
      <c r="C10" s="2">
        <v>0.25</v>
      </c>
      <c r="D10" s="2">
        <f t="shared" si="0"/>
        <v>0.03125</v>
      </c>
    </row>
    <row r="11" spans="1:4">
      <c r="A11" s="8">
        <v>43520</v>
      </c>
      <c r="B11" s="2" t="s">
        <v>29</v>
      </c>
      <c r="C11" s="2">
        <v>0.25</v>
      </c>
      <c r="D11" s="2">
        <f t="shared" si="0"/>
        <v>0.03125</v>
      </c>
    </row>
    <row r="12" spans="1:4">
      <c r="A12" s="8">
        <v>43536</v>
      </c>
      <c r="B12" s="2" t="s">
        <v>29</v>
      </c>
      <c r="C12" s="2">
        <v>0.25</v>
      </c>
      <c r="D12" s="2">
        <f t="shared" si="0"/>
        <v>0.03125</v>
      </c>
    </row>
    <row r="13" spans="1:4">
      <c r="A13" s="8">
        <v>43549</v>
      </c>
      <c r="B13" s="2" t="s">
        <v>29</v>
      </c>
      <c r="C13" s="2">
        <v>0.25</v>
      </c>
      <c r="D13" s="2">
        <f t="shared" si="0"/>
        <v>0.03125</v>
      </c>
    </row>
    <row r="14" spans="1:4">
      <c r="A14" s="8">
        <v>43550</v>
      </c>
      <c r="B14" s="2" t="s">
        <v>29</v>
      </c>
      <c r="C14" s="2">
        <v>0.25</v>
      </c>
      <c r="D14" s="2">
        <f t="shared" si="0"/>
        <v>0.03125</v>
      </c>
    </row>
    <row r="15" spans="1:4">
      <c r="A15" s="8">
        <v>43564</v>
      </c>
      <c r="B15" s="2" t="s">
        <v>27</v>
      </c>
      <c r="C15" s="2">
        <v>0.25</v>
      </c>
      <c r="D15" s="2">
        <f t="shared" si="0"/>
        <v>0.03125</v>
      </c>
    </row>
    <row r="16" spans="1:4">
      <c r="A16" s="8">
        <v>43566</v>
      </c>
      <c r="B16" s="2" t="s">
        <v>27</v>
      </c>
      <c r="C16" s="2">
        <v>0.25</v>
      </c>
      <c r="D16" s="2">
        <f t="shared" si="0"/>
        <v>0.03125</v>
      </c>
    </row>
    <row r="17" spans="1:4">
      <c r="A17" s="8">
        <v>43570</v>
      </c>
      <c r="B17" s="2" t="s">
        <v>29</v>
      </c>
      <c r="C17" s="2">
        <v>0.25</v>
      </c>
      <c r="D17" s="2">
        <f t="shared" si="0"/>
        <v>0.03125</v>
      </c>
    </row>
    <row r="18" spans="1:4">
      <c r="A18" s="8">
        <v>43572</v>
      </c>
      <c r="B18" s="2" t="s">
        <v>29</v>
      </c>
      <c r="C18" s="2">
        <v>0.25</v>
      </c>
      <c r="D18" s="2">
        <f t="shared" si="0"/>
        <v>0.03125</v>
      </c>
    </row>
    <row r="19" spans="4:4">
      <c r="D19" s="2">
        <f t="shared" si="0"/>
        <v>0</v>
      </c>
    </row>
    <row r="20" spans="4:4">
      <c r="D20" s="2">
        <f t="shared" si="0"/>
        <v>0</v>
      </c>
    </row>
    <row r="21" spans="4:4">
      <c r="D21" s="2">
        <f t="shared" si="0"/>
        <v>0</v>
      </c>
    </row>
    <row r="22" spans="4:4">
      <c r="D22" s="2">
        <f t="shared" si="0"/>
        <v>0</v>
      </c>
    </row>
    <row r="23" spans="4:4">
      <c r="D23" s="2">
        <f t="shared" si="0"/>
        <v>0</v>
      </c>
    </row>
    <row r="24" spans="4:4">
      <c r="D24" s="2">
        <f t="shared" si="0"/>
        <v>0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si="0"/>
        <v>0</v>
      </c>
    </row>
    <row r="69" spans="4:4">
      <c r="D69" s="2">
        <f t="shared" ref="D69:D80" si="1">C69/8</f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  <row r="80" spans="4:4">
      <c r="D80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79"/>
  <sheetViews>
    <sheetView workbookViewId="0">
      <selection activeCell="A9" sqref="$A9:$XFD9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54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9">
      <c r="A4" s="8">
        <v>43252</v>
      </c>
      <c r="B4" s="2" t="s">
        <v>27</v>
      </c>
      <c r="C4" s="2">
        <v>58</v>
      </c>
      <c r="D4" s="2">
        <f t="shared" ref="D4:D67" si="0">C4/8</f>
        <v>7.25</v>
      </c>
      <c r="I4" s="2" t="s">
        <v>47</v>
      </c>
    </row>
    <row r="5" spans="1:4">
      <c r="A5" s="8">
        <v>43332</v>
      </c>
      <c r="B5" s="2" t="s">
        <v>26</v>
      </c>
      <c r="C5" s="2">
        <v>-15.2</v>
      </c>
      <c r="D5" s="2">
        <f t="shared" si="0"/>
        <v>-1.9</v>
      </c>
    </row>
    <row r="6" spans="1:4">
      <c r="A6" s="8">
        <v>43363</v>
      </c>
      <c r="B6" s="2" t="s">
        <v>27</v>
      </c>
      <c r="C6" s="2">
        <v>2</v>
      </c>
      <c r="D6" s="2">
        <f t="shared" si="0"/>
        <v>0.25</v>
      </c>
    </row>
    <row r="7" spans="1:4">
      <c r="A7" s="8">
        <v>43513</v>
      </c>
      <c r="B7" s="2" t="s">
        <v>27</v>
      </c>
      <c r="C7" s="2">
        <v>0.25</v>
      </c>
      <c r="D7" s="2">
        <f t="shared" si="0"/>
        <v>0.03125</v>
      </c>
    </row>
    <row r="8" spans="1:4">
      <c r="A8" s="8">
        <v>43536</v>
      </c>
      <c r="B8" s="2" t="s">
        <v>29</v>
      </c>
      <c r="C8" s="2">
        <v>0.25</v>
      </c>
      <c r="D8" s="2">
        <f t="shared" si="0"/>
        <v>0.03125</v>
      </c>
    </row>
    <row r="9" spans="4:4">
      <c r="D9" s="2">
        <f t="shared" si="0"/>
        <v>0</v>
      </c>
    </row>
    <row r="10" spans="4:4">
      <c r="D10" s="2">
        <f t="shared" si="0"/>
        <v>0</v>
      </c>
    </row>
    <row r="11" spans="4:4">
      <c r="D11" s="2">
        <f t="shared" si="0"/>
        <v>0</v>
      </c>
    </row>
    <row r="12" spans="4:4">
      <c r="D12" s="2">
        <f t="shared" si="0"/>
        <v>0</v>
      </c>
    </row>
    <row r="13" spans="4:4">
      <c r="D13" s="2">
        <f t="shared" si="0"/>
        <v>0</v>
      </c>
    </row>
    <row r="14" spans="4:4">
      <c r="D14" s="2">
        <f t="shared" si="0"/>
        <v>0</v>
      </c>
    </row>
    <row r="15" spans="1:4">
      <c r="A15" s="8"/>
      <c r="D15" s="2">
        <f t="shared" si="0"/>
        <v>0</v>
      </c>
    </row>
    <row r="16" spans="1:4">
      <c r="A16" s="8"/>
      <c r="D16" s="2">
        <f t="shared" si="0"/>
        <v>0</v>
      </c>
    </row>
    <row r="17" spans="1:4">
      <c r="A17" s="8"/>
      <c r="D17" s="2">
        <f t="shared" si="0"/>
        <v>0</v>
      </c>
    </row>
    <row r="18" spans="4:4">
      <c r="D18" s="2">
        <f t="shared" si="0"/>
        <v>0</v>
      </c>
    </row>
    <row r="19" spans="4:4">
      <c r="D19" s="2">
        <f t="shared" si="0"/>
        <v>0</v>
      </c>
    </row>
    <row r="20" spans="4:4">
      <c r="D20" s="2">
        <f t="shared" si="0"/>
        <v>0</v>
      </c>
    </row>
    <row r="21" spans="4:4">
      <c r="D21" s="2">
        <f t="shared" si="0"/>
        <v>0</v>
      </c>
    </row>
    <row r="22" spans="4:4">
      <c r="D22" s="2">
        <f t="shared" si="0"/>
        <v>0</v>
      </c>
    </row>
    <row r="23" spans="4:4">
      <c r="D23" s="2">
        <f t="shared" si="0"/>
        <v>0</v>
      </c>
    </row>
    <row r="24" spans="4:4">
      <c r="D24" s="2">
        <f t="shared" si="0"/>
        <v>0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ref="D68:D79" si="1">C68/8</f>
        <v>0</v>
      </c>
    </row>
    <row r="69" spans="4:4">
      <c r="D69" s="2">
        <f t="shared" si="1"/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80"/>
  <sheetViews>
    <sheetView workbookViewId="0">
      <selection activeCell="A26" sqref="$A26:$XFD26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55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9">
      <c r="A4" s="8">
        <v>43265</v>
      </c>
      <c r="B4" s="2" t="s">
        <v>27</v>
      </c>
      <c r="C4" s="2">
        <v>80</v>
      </c>
      <c r="D4" s="2">
        <f>C4/8</f>
        <v>10</v>
      </c>
      <c r="I4" s="2" t="s">
        <v>60</v>
      </c>
    </row>
    <row r="5" spans="1:4">
      <c r="A5" s="8">
        <v>43312</v>
      </c>
      <c r="B5" s="2" t="s">
        <v>25</v>
      </c>
      <c r="C5" s="2">
        <v>-32</v>
      </c>
      <c r="D5" s="2">
        <f t="shared" ref="D5:D68" si="0">C5/8</f>
        <v>-4</v>
      </c>
    </row>
    <row r="6" spans="1:9">
      <c r="A6" s="8">
        <v>43321</v>
      </c>
      <c r="B6" s="2" t="s">
        <v>25</v>
      </c>
      <c r="C6" s="2">
        <v>0.25</v>
      </c>
      <c r="D6" s="2">
        <f t="shared" si="0"/>
        <v>0.03125</v>
      </c>
      <c r="I6" s="2" t="s">
        <v>64</v>
      </c>
    </row>
    <row r="7" spans="1:4">
      <c r="A7" s="8">
        <v>43329</v>
      </c>
      <c r="B7" s="2" t="s">
        <v>25</v>
      </c>
      <c r="C7" s="2">
        <v>0.5</v>
      </c>
      <c r="D7" s="2">
        <f t="shared" si="0"/>
        <v>0.0625</v>
      </c>
    </row>
    <row r="8" spans="1:4">
      <c r="A8" s="8">
        <v>43332</v>
      </c>
      <c r="B8" s="2" t="s">
        <v>26</v>
      </c>
      <c r="C8" s="2">
        <v>-15.2</v>
      </c>
      <c r="D8" s="2">
        <f t="shared" si="0"/>
        <v>-1.9</v>
      </c>
    </row>
    <row r="9" spans="1:4">
      <c r="A9" s="8">
        <v>43333</v>
      </c>
      <c r="B9" s="2" t="s">
        <v>25</v>
      </c>
      <c r="C9" s="2">
        <v>0.5</v>
      </c>
      <c r="D9" s="2">
        <f t="shared" si="0"/>
        <v>0.0625</v>
      </c>
    </row>
    <row r="10" spans="1:4">
      <c r="A10" s="8">
        <v>43363</v>
      </c>
      <c r="B10" s="2" t="s">
        <v>27</v>
      </c>
      <c r="C10" s="2">
        <v>2</v>
      </c>
      <c r="D10" s="2">
        <f t="shared" si="0"/>
        <v>0.25</v>
      </c>
    </row>
    <row r="11" spans="1:4">
      <c r="A11" s="8">
        <v>43369</v>
      </c>
      <c r="B11" s="2" t="s">
        <v>27</v>
      </c>
      <c r="C11" s="2">
        <v>0.5</v>
      </c>
      <c r="D11" s="2">
        <f t="shared" si="0"/>
        <v>0.0625</v>
      </c>
    </row>
    <row r="12" spans="1:4">
      <c r="A12" s="8">
        <v>43377</v>
      </c>
      <c r="B12" s="2" t="s">
        <v>27</v>
      </c>
      <c r="C12" s="2">
        <v>0.25</v>
      </c>
      <c r="D12" s="2">
        <f t="shared" si="0"/>
        <v>0.03125</v>
      </c>
    </row>
    <row r="13" spans="1:4">
      <c r="A13" s="8">
        <v>43411</v>
      </c>
      <c r="B13" s="2" t="s">
        <v>28</v>
      </c>
      <c r="C13" s="2">
        <v>0.5</v>
      </c>
      <c r="D13" s="2">
        <f t="shared" si="0"/>
        <v>0.0625</v>
      </c>
    </row>
    <row r="14" spans="1:4">
      <c r="A14" s="8">
        <v>43418</v>
      </c>
      <c r="B14" s="2" t="s">
        <v>28</v>
      </c>
      <c r="C14" s="2">
        <v>0.5</v>
      </c>
      <c r="D14" s="2">
        <f t="shared" si="0"/>
        <v>0.0625</v>
      </c>
    </row>
    <row r="15" spans="1:4">
      <c r="A15" s="8">
        <v>43475</v>
      </c>
      <c r="B15" s="2" t="s">
        <v>28</v>
      </c>
      <c r="C15" s="2">
        <v>0.25</v>
      </c>
      <c r="D15" s="2">
        <f t="shared" si="0"/>
        <v>0.03125</v>
      </c>
    </row>
    <row r="16" spans="1:4">
      <c r="A16" s="8">
        <v>43497</v>
      </c>
      <c r="B16" s="2" t="s">
        <v>28</v>
      </c>
      <c r="C16" s="2">
        <v>0.25</v>
      </c>
      <c r="D16" s="2">
        <f t="shared" si="0"/>
        <v>0.03125</v>
      </c>
    </row>
    <row r="17" spans="1:4">
      <c r="A17" s="8">
        <v>43513</v>
      </c>
      <c r="B17" s="2" t="s">
        <v>27</v>
      </c>
      <c r="C17" s="2">
        <v>0.5</v>
      </c>
      <c r="D17" s="2">
        <f t="shared" si="0"/>
        <v>0.0625</v>
      </c>
    </row>
    <row r="18" spans="1:4">
      <c r="A18" s="8">
        <v>43520</v>
      </c>
      <c r="B18" s="2" t="s">
        <v>29</v>
      </c>
      <c r="C18" s="2">
        <v>0.25</v>
      </c>
      <c r="D18" s="2">
        <f t="shared" si="0"/>
        <v>0.03125</v>
      </c>
    </row>
    <row r="19" spans="1:4">
      <c r="A19" s="8">
        <v>43536</v>
      </c>
      <c r="B19" s="2" t="s">
        <v>29</v>
      </c>
      <c r="C19" s="2">
        <v>0.25</v>
      </c>
      <c r="D19" s="2">
        <f t="shared" si="0"/>
        <v>0.03125</v>
      </c>
    </row>
    <row r="20" spans="1:4">
      <c r="A20" s="8">
        <v>43549</v>
      </c>
      <c r="B20" s="2" t="s">
        <v>29</v>
      </c>
      <c r="C20" s="2">
        <v>0.5</v>
      </c>
      <c r="D20" s="2">
        <f t="shared" si="0"/>
        <v>0.0625</v>
      </c>
    </row>
    <row r="21" spans="1:4">
      <c r="A21" s="8">
        <v>43550</v>
      </c>
      <c r="B21" s="2" t="s">
        <v>29</v>
      </c>
      <c r="C21" s="2">
        <v>0.5</v>
      </c>
      <c r="D21" s="2">
        <f t="shared" si="0"/>
        <v>0.0625</v>
      </c>
    </row>
    <row r="22" spans="1:4">
      <c r="A22" s="8">
        <v>43552</v>
      </c>
      <c r="B22" s="2" t="s">
        <v>29</v>
      </c>
      <c r="C22" s="2">
        <v>10</v>
      </c>
      <c r="D22" s="2">
        <f t="shared" si="0"/>
        <v>1.25</v>
      </c>
    </row>
    <row r="23" spans="1:4">
      <c r="A23" s="8">
        <v>43564</v>
      </c>
      <c r="B23" s="2" t="s">
        <v>27</v>
      </c>
      <c r="C23" s="2">
        <v>0.25</v>
      </c>
      <c r="D23" s="2">
        <f t="shared" si="0"/>
        <v>0.03125</v>
      </c>
    </row>
    <row r="24" spans="1:4">
      <c r="A24" s="8">
        <v>43566</v>
      </c>
      <c r="B24" s="2" t="s">
        <v>27</v>
      </c>
      <c r="C24" s="2">
        <v>0.5</v>
      </c>
      <c r="D24" s="2">
        <f t="shared" si="0"/>
        <v>0.0625</v>
      </c>
    </row>
    <row r="25" spans="1:4">
      <c r="A25" s="8">
        <v>43570</v>
      </c>
      <c r="B25" s="2" t="s">
        <v>29</v>
      </c>
      <c r="C25" s="2">
        <v>0.5</v>
      </c>
      <c r="D25" s="2">
        <f t="shared" si="0"/>
        <v>0.0625</v>
      </c>
    </row>
    <row r="26" spans="1:4">
      <c r="A26" s="8">
        <v>43572</v>
      </c>
      <c r="B26" s="2" t="s">
        <v>29</v>
      </c>
      <c r="C26" s="2">
        <v>0.5</v>
      </c>
      <c r="D26" s="2">
        <f t="shared" si="0"/>
        <v>0.0625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si="0"/>
        <v>0</v>
      </c>
    </row>
    <row r="69" spans="4:4">
      <c r="D69" s="2">
        <f t="shared" ref="D69:D80" si="1">C69/8</f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  <row r="80" spans="4:4">
      <c r="D80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80"/>
  <sheetViews>
    <sheetView workbookViewId="0">
      <selection activeCell="A13" sqref="A13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56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9">
      <c r="A4" s="8">
        <v>43269</v>
      </c>
      <c r="B4" s="2" t="s">
        <v>27</v>
      </c>
      <c r="C4" s="2">
        <v>100</v>
      </c>
      <c r="D4" s="2">
        <f>C4/8</f>
        <v>12.5</v>
      </c>
      <c r="E4" s="2">
        <v>1</v>
      </c>
      <c r="F4" s="2" t="s">
        <v>36</v>
      </c>
      <c r="I4" s="2" t="s">
        <v>65</v>
      </c>
    </row>
    <row r="5" spans="1:9">
      <c r="A5" s="8">
        <v>43312</v>
      </c>
      <c r="B5" s="2" t="s">
        <v>25</v>
      </c>
      <c r="C5" s="2">
        <v>-52</v>
      </c>
      <c r="D5" s="2">
        <f t="shared" ref="D5:D68" si="0">C5/8</f>
        <v>-6.5</v>
      </c>
      <c r="I5" s="2" t="s">
        <v>66</v>
      </c>
    </row>
    <row r="6" spans="1:9">
      <c r="A6" s="8">
        <v>43321</v>
      </c>
      <c r="B6" s="2" t="s">
        <v>25</v>
      </c>
      <c r="C6" s="2">
        <v>0.25</v>
      </c>
      <c r="D6" s="2">
        <f t="shared" si="0"/>
        <v>0.03125</v>
      </c>
      <c r="I6" s="2" t="s">
        <v>64</v>
      </c>
    </row>
    <row r="7" spans="1:4">
      <c r="A7" s="8">
        <v>43329</v>
      </c>
      <c r="B7" s="2" t="s">
        <v>25</v>
      </c>
      <c r="C7" s="2">
        <v>1</v>
      </c>
      <c r="D7" s="2">
        <f t="shared" si="0"/>
        <v>0.125</v>
      </c>
    </row>
    <row r="8" spans="1:4">
      <c r="A8" s="8">
        <v>43332</v>
      </c>
      <c r="B8" s="2" t="s">
        <v>26</v>
      </c>
      <c r="C8" s="2">
        <v>-15.2</v>
      </c>
      <c r="D8" s="2">
        <f t="shared" si="0"/>
        <v>-1.9</v>
      </c>
    </row>
    <row r="9" spans="1:4">
      <c r="A9" s="8">
        <v>43333</v>
      </c>
      <c r="B9" s="2" t="s">
        <v>25</v>
      </c>
      <c r="C9" s="2">
        <v>0.25</v>
      </c>
      <c r="D9" s="2">
        <f t="shared" si="0"/>
        <v>0.03125</v>
      </c>
    </row>
    <row r="10" spans="1:4">
      <c r="A10" s="8">
        <v>43363</v>
      </c>
      <c r="B10" s="2" t="s">
        <v>27</v>
      </c>
      <c r="C10" s="2">
        <v>2</v>
      </c>
      <c r="D10" s="2">
        <f t="shared" si="0"/>
        <v>0.25</v>
      </c>
    </row>
    <row r="11" spans="1:4">
      <c r="A11" s="8">
        <v>43369</v>
      </c>
      <c r="B11" s="2" t="s">
        <v>27</v>
      </c>
      <c r="C11" s="2">
        <v>0.5</v>
      </c>
      <c r="D11" s="2">
        <f t="shared" si="0"/>
        <v>0.0625</v>
      </c>
    </row>
    <row r="12" spans="1:4">
      <c r="A12" s="8">
        <v>43370</v>
      </c>
      <c r="B12" s="2" t="s">
        <v>28</v>
      </c>
      <c r="C12" s="2">
        <v>0.5</v>
      </c>
      <c r="D12" s="2">
        <f t="shared" si="0"/>
        <v>0.0625</v>
      </c>
    </row>
    <row r="13" spans="1:4">
      <c r="A13" s="8"/>
      <c r="D13" s="2">
        <f t="shared" si="0"/>
        <v>0</v>
      </c>
    </row>
    <row r="14" spans="4:4">
      <c r="D14" s="2">
        <f t="shared" si="0"/>
        <v>0</v>
      </c>
    </row>
    <row r="15" spans="4:4">
      <c r="D15" s="2">
        <f t="shared" si="0"/>
        <v>0</v>
      </c>
    </row>
    <row r="16" spans="1:4">
      <c r="A16" s="8"/>
      <c r="D16" s="2">
        <f t="shared" si="0"/>
        <v>0</v>
      </c>
    </row>
    <row r="17" spans="1:4">
      <c r="A17" s="8"/>
      <c r="D17" s="2">
        <f t="shared" si="0"/>
        <v>0</v>
      </c>
    </row>
    <row r="18" spans="1:4">
      <c r="A18" s="8"/>
      <c r="D18" s="2">
        <f t="shared" si="0"/>
        <v>0</v>
      </c>
    </row>
    <row r="19" spans="4:4">
      <c r="D19" s="2">
        <f t="shared" si="0"/>
        <v>0</v>
      </c>
    </row>
    <row r="20" spans="4:4">
      <c r="D20" s="2">
        <f t="shared" si="0"/>
        <v>0</v>
      </c>
    </row>
    <row r="21" spans="4:4">
      <c r="D21" s="2">
        <f t="shared" si="0"/>
        <v>0</v>
      </c>
    </row>
    <row r="22" spans="4:4">
      <c r="D22" s="2">
        <f t="shared" si="0"/>
        <v>0</v>
      </c>
    </row>
    <row r="23" spans="4:4">
      <c r="D23" s="2">
        <f t="shared" si="0"/>
        <v>0</v>
      </c>
    </row>
    <row r="24" spans="4:4">
      <c r="D24" s="2">
        <f t="shared" si="0"/>
        <v>0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si="0"/>
        <v>0</v>
      </c>
    </row>
    <row r="69" spans="4:4">
      <c r="D69" s="2">
        <f t="shared" ref="D69:D80" si="1">C69/8</f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  <row r="80" spans="4:4">
      <c r="D80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80"/>
  <sheetViews>
    <sheetView workbookViewId="0">
      <selection activeCell="A23" sqref="$A23:$XFD23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57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9">
      <c r="A4" s="8">
        <v>43269</v>
      </c>
      <c r="B4" s="2" t="s">
        <v>27</v>
      </c>
      <c r="C4" s="2">
        <v>72</v>
      </c>
      <c r="D4" s="2">
        <f>C4/8</f>
        <v>9</v>
      </c>
      <c r="E4" s="2">
        <v>1</v>
      </c>
      <c r="F4" s="2" t="s">
        <v>39</v>
      </c>
      <c r="I4" s="2" t="s">
        <v>40</v>
      </c>
    </row>
    <row r="5" spans="1:9">
      <c r="A5" s="8">
        <v>43321</v>
      </c>
      <c r="B5" s="2" t="s">
        <v>25</v>
      </c>
      <c r="C5" s="2">
        <v>-28</v>
      </c>
      <c r="D5" s="2">
        <f t="shared" ref="D5:D68" si="0">C5/8</f>
        <v>-3.5</v>
      </c>
      <c r="I5" s="2" t="s">
        <v>64</v>
      </c>
    </row>
    <row r="6" spans="1:4">
      <c r="A6" s="8">
        <v>43329</v>
      </c>
      <c r="B6" s="2" t="s">
        <v>25</v>
      </c>
      <c r="C6" s="2">
        <v>-4</v>
      </c>
      <c r="D6" s="2">
        <f t="shared" si="0"/>
        <v>-0.5</v>
      </c>
    </row>
    <row r="7" spans="1:4">
      <c r="A7" s="8">
        <v>43332</v>
      </c>
      <c r="B7" s="2" t="s">
        <v>26</v>
      </c>
      <c r="C7" s="2">
        <v>-15.2</v>
      </c>
      <c r="D7" s="2">
        <f t="shared" si="0"/>
        <v>-1.9</v>
      </c>
    </row>
    <row r="8" spans="1:4">
      <c r="A8" s="8">
        <v>43363</v>
      </c>
      <c r="B8" s="2" t="s">
        <v>27</v>
      </c>
      <c r="C8" s="2">
        <v>2</v>
      </c>
      <c r="D8" s="2">
        <f t="shared" si="0"/>
        <v>0.25</v>
      </c>
    </row>
    <row r="9" spans="1:4">
      <c r="A9" s="8">
        <v>43369</v>
      </c>
      <c r="B9" s="2" t="s">
        <v>27</v>
      </c>
      <c r="C9" s="2">
        <v>0.5</v>
      </c>
      <c r="D9" s="2">
        <f t="shared" si="0"/>
        <v>0.0625</v>
      </c>
    </row>
    <row r="10" spans="1:4">
      <c r="A10" s="8">
        <v>43377</v>
      </c>
      <c r="B10" s="2" t="s">
        <v>27</v>
      </c>
      <c r="C10" s="2">
        <v>0.25</v>
      </c>
      <c r="D10" s="2">
        <f t="shared" si="0"/>
        <v>0.03125</v>
      </c>
    </row>
    <row r="11" spans="1:4">
      <c r="A11" s="8">
        <v>43411</v>
      </c>
      <c r="B11" s="2" t="s">
        <v>28</v>
      </c>
      <c r="C11" s="2">
        <v>0.25</v>
      </c>
      <c r="D11" s="2">
        <f t="shared" si="0"/>
        <v>0.03125</v>
      </c>
    </row>
    <row r="12" spans="1:4">
      <c r="A12" s="8">
        <v>43418</v>
      </c>
      <c r="B12" s="2" t="s">
        <v>28</v>
      </c>
      <c r="C12" s="2">
        <v>0.5</v>
      </c>
      <c r="D12" s="2">
        <f t="shared" si="0"/>
        <v>0.0625</v>
      </c>
    </row>
    <row r="13" spans="1:4">
      <c r="A13" s="8">
        <v>43475</v>
      </c>
      <c r="B13" s="2" t="s">
        <v>28</v>
      </c>
      <c r="C13" s="2">
        <v>0.25</v>
      </c>
      <c r="D13" s="2">
        <f t="shared" si="0"/>
        <v>0.03125</v>
      </c>
    </row>
    <row r="14" spans="1:4">
      <c r="A14" s="8">
        <v>43497</v>
      </c>
      <c r="B14" s="2" t="s">
        <v>28</v>
      </c>
      <c r="C14" s="2">
        <v>0.25</v>
      </c>
      <c r="D14" s="2">
        <f t="shared" si="0"/>
        <v>0.03125</v>
      </c>
    </row>
    <row r="15" spans="1:4">
      <c r="A15" s="8">
        <v>43513</v>
      </c>
      <c r="B15" s="2" t="s">
        <v>27</v>
      </c>
      <c r="C15" s="2">
        <v>0.5</v>
      </c>
      <c r="D15" s="2">
        <f t="shared" si="0"/>
        <v>0.0625</v>
      </c>
    </row>
    <row r="16" spans="1:4">
      <c r="A16" s="8">
        <v>43520</v>
      </c>
      <c r="B16" s="2" t="s">
        <v>29</v>
      </c>
      <c r="C16" s="2">
        <v>0.25</v>
      </c>
      <c r="D16" s="2">
        <f t="shared" si="0"/>
        <v>0.03125</v>
      </c>
    </row>
    <row r="17" spans="1:4">
      <c r="A17" s="8">
        <v>43536</v>
      </c>
      <c r="B17" s="2" t="s">
        <v>29</v>
      </c>
      <c r="C17" s="2">
        <v>0.25</v>
      </c>
      <c r="D17" s="2">
        <f t="shared" si="0"/>
        <v>0.03125</v>
      </c>
    </row>
    <row r="18" spans="1:4">
      <c r="A18" s="8">
        <v>43549</v>
      </c>
      <c r="B18" s="2" t="s">
        <v>29</v>
      </c>
      <c r="C18" s="2">
        <v>0.5</v>
      </c>
      <c r="D18" s="2">
        <f t="shared" si="0"/>
        <v>0.0625</v>
      </c>
    </row>
    <row r="19" spans="1:4">
      <c r="A19" s="8">
        <v>43550</v>
      </c>
      <c r="B19" s="2" t="s">
        <v>29</v>
      </c>
      <c r="C19" s="2">
        <v>0.5</v>
      </c>
      <c r="D19" s="2">
        <f t="shared" si="0"/>
        <v>0.0625</v>
      </c>
    </row>
    <row r="20" spans="1:4">
      <c r="A20" s="8">
        <v>43564</v>
      </c>
      <c r="B20" s="2" t="s">
        <v>27</v>
      </c>
      <c r="C20" s="2">
        <v>0.25</v>
      </c>
      <c r="D20" s="2">
        <f t="shared" si="0"/>
        <v>0.03125</v>
      </c>
    </row>
    <row r="21" spans="1:4">
      <c r="A21" s="8">
        <v>43566</v>
      </c>
      <c r="B21" s="2" t="s">
        <v>27</v>
      </c>
      <c r="C21" s="2">
        <v>0.25</v>
      </c>
      <c r="D21" s="2">
        <f t="shared" si="0"/>
        <v>0.03125</v>
      </c>
    </row>
    <row r="22" spans="1:4">
      <c r="A22" s="8">
        <v>43570</v>
      </c>
      <c r="B22" s="2" t="s">
        <v>29</v>
      </c>
      <c r="C22" s="2">
        <v>0.5</v>
      </c>
      <c r="D22" s="2">
        <f t="shared" si="0"/>
        <v>0.0625</v>
      </c>
    </row>
    <row r="23" spans="1:4">
      <c r="A23" s="8">
        <v>43572</v>
      </c>
      <c r="B23" s="2" t="s">
        <v>29</v>
      </c>
      <c r="C23" s="2">
        <v>0.5</v>
      </c>
      <c r="D23" s="2">
        <f t="shared" si="0"/>
        <v>0.0625</v>
      </c>
    </row>
    <row r="24" spans="4:4">
      <c r="D24" s="2">
        <f t="shared" si="0"/>
        <v>0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si="0"/>
        <v>0</v>
      </c>
    </row>
    <row r="69" spans="4:4">
      <c r="D69" s="2">
        <f t="shared" ref="D69:D80" si="1">C69/8</f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  <row r="80" spans="4:4">
      <c r="D80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79"/>
  <sheetViews>
    <sheetView workbookViewId="0">
      <selection activeCell="A24" sqref="$A24:$XFD24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58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4">
      <c r="A4" s="8">
        <v>43250</v>
      </c>
      <c r="B4" s="2" t="s">
        <v>27</v>
      </c>
      <c r="C4" s="2">
        <v>100</v>
      </c>
      <c r="D4" s="2">
        <f t="shared" ref="D4:D67" si="0">C4/8</f>
        <v>12.5</v>
      </c>
    </row>
    <row r="5" spans="1:9">
      <c r="A5" s="8">
        <v>43313</v>
      </c>
      <c r="B5" s="2" t="s">
        <v>25</v>
      </c>
      <c r="C5" s="2">
        <v>64</v>
      </c>
      <c r="D5" s="2">
        <f t="shared" si="0"/>
        <v>8</v>
      </c>
      <c r="I5" s="2" t="s">
        <v>32</v>
      </c>
    </row>
    <row r="6" spans="1:9">
      <c r="A6" s="8">
        <v>43321</v>
      </c>
      <c r="B6" s="2" t="s">
        <v>25</v>
      </c>
      <c r="C6" s="2">
        <v>16</v>
      </c>
      <c r="D6" s="2">
        <f t="shared" si="0"/>
        <v>2</v>
      </c>
      <c r="I6" s="2" t="s">
        <v>64</v>
      </c>
    </row>
    <row r="7" spans="1:4">
      <c r="A7" s="8">
        <v>43329</v>
      </c>
      <c r="B7" s="2" t="s">
        <v>25</v>
      </c>
      <c r="C7" s="2">
        <v>5</v>
      </c>
      <c r="D7" s="2">
        <f t="shared" si="0"/>
        <v>0.625</v>
      </c>
    </row>
    <row r="8" spans="1:4">
      <c r="A8" s="8">
        <v>43332</v>
      </c>
      <c r="B8" s="2" t="s">
        <v>26</v>
      </c>
      <c r="C8" s="2">
        <v>-15.2</v>
      </c>
      <c r="D8" s="2">
        <f t="shared" si="0"/>
        <v>-1.9</v>
      </c>
    </row>
    <row r="9" spans="1:4">
      <c r="A9" s="8">
        <v>43333</v>
      </c>
      <c r="B9" s="2" t="s">
        <v>25</v>
      </c>
      <c r="C9" s="2">
        <v>0.5</v>
      </c>
      <c r="D9" s="2">
        <f t="shared" si="0"/>
        <v>0.0625</v>
      </c>
    </row>
    <row r="10" spans="1:4">
      <c r="A10" s="8">
        <v>43363</v>
      </c>
      <c r="B10" s="2" t="s">
        <v>27</v>
      </c>
      <c r="C10" s="2">
        <v>1</v>
      </c>
      <c r="D10" s="2">
        <f t="shared" si="0"/>
        <v>0.125</v>
      </c>
    </row>
    <row r="11" spans="1:4">
      <c r="A11" s="8">
        <v>43369</v>
      </c>
      <c r="B11" s="2" t="s">
        <v>27</v>
      </c>
      <c r="C11" s="2">
        <v>0.5</v>
      </c>
      <c r="D11" s="2">
        <f t="shared" si="0"/>
        <v>0.0625</v>
      </c>
    </row>
    <row r="12" spans="1:4">
      <c r="A12" s="8">
        <v>43411</v>
      </c>
      <c r="B12" s="2" t="s">
        <v>28</v>
      </c>
      <c r="C12" s="2">
        <v>0.25</v>
      </c>
      <c r="D12" s="2">
        <f t="shared" si="0"/>
        <v>0.03125</v>
      </c>
    </row>
    <row r="13" spans="1:4">
      <c r="A13" s="8">
        <v>43418</v>
      </c>
      <c r="B13" s="2" t="s">
        <v>28</v>
      </c>
      <c r="C13" s="2">
        <v>0.25</v>
      </c>
      <c r="D13" s="2">
        <f t="shared" si="0"/>
        <v>0.03125</v>
      </c>
    </row>
    <row r="14" spans="1:4">
      <c r="A14" s="8">
        <v>43474</v>
      </c>
      <c r="B14" s="2" t="s">
        <v>28</v>
      </c>
      <c r="C14" s="2">
        <v>0.25</v>
      </c>
      <c r="D14" s="2">
        <f t="shared" si="0"/>
        <v>0.03125</v>
      </c>
    </row>
    <row r="15" spans="1:4">
      <c r="A15" s="8">
        <v>43497</v>
      </c>
      <c r="B15" s="2" t="s">
        <v>28</v>
      </c>
      <c r="C15" s="2">
        <v>0.25</v>
      </c>
      <c r="D15" s="2">
        <f t="shared" si="0"/>
        <v>0.03125</v>
      </c>
    </row>
    <row r="16" spans="1:4">
      <c r="A16" s="8">
        <v>43513</v>
      </c>
      <c r="B16" s="2" t="s">
        <v>27</v>
      </c>
      <c r="C16" s="2">
        <v>0.25</v>
      </c>
      <c r="D16" s="2">
        <f t="shared" si="0"/>
        <v>0.03125</v>
      </c>
    </row>
    <row r="17" spans="1:4">
      <c r="A17" s="8">
        <v>43520</v>
      </c>
      <c r="B17" s="2" t="s">
        <v>29</v>
      </c>
      <c r="C17" s="2">
        <v>0.25</v>
      </c>
      <c r="D17" s="2">
        <f t="shared" si="0"/>
        <v>0.03125</v>
      </c>
    </row>
    <row r="18" spans="1:4">
      <c r="A18" s="8">
        <v>43536</v>
      </c>
      <c r="B18" s="2" t="s">
        <v>29</v>
      </c>
      <c r="C18" s="2">
        <v>0.25</v>
      </c>
      <c r="D18" s="2">
        <f t="shared" si="0"/>
        <v>0.03125</v>
      </c>
    </row>
    <row r="19" spans="1:4">
      <c r="A19" s="8">
        <v>43549</v>
      </c>
      <c r="B19" s="2" t="s">
        <v>29</v>
      </c>
      <c r="C19" s="2">
        <v>0.25</v>
      </c>
      <c r="D19" s="2">
        <f t="shared" si="0"/>
        <v>0.03125</v>
      </c>
    </row>
    <row r="20" spans="1:4">
      <c r="A20" s="8">
        <v>43550</v>
      </c>
      <c r="B20" s="2" t="s">
        <v>29</v>
      </c>
      <c r="C20" s="2">
        <v>0.25</v>
      </c>
      <c r="D20" s="2">
        <f t="shared" si="0"/>
        <v>0.03125</v>
      </c>
    </row>
    <row r="21" spans="1:4">
      <c r="A21" s="8">
        <v>43564</v>
      </c>
      <c r="B21" s="2" t="s">
        <v>27</v>
      </c>
      <c r="C21" s="2">
        <v>0.25</v>
      </c>
      <c r="D21" s="2">
        <f t="shared" si="0"/>
        <v>0.03125</v>
      </c>
    </row>
    <row r="22" spans="1:4">
      <c r="A22" s="8">
        <v>43566</v>
      </c>
      <c r="B22" s="2" t="s">
        <v>27</v>
      </c>
      <c r="C22" s="2">
        <v>0.5</v>
      </c>
      <c r="D22" s="2">
        <f t="shared" si="0"/>
        <v>0.0625</v>
      </c>
    </row>
    <row r="23" spans="1:4">
      <c r="A23" s="8">
        <v>43570</v>
      </c>
      <c r="B23" s="2" t="s">
        <v>29</v>
      </c>
      <c r="C23" s="2">
        <v>0.25</v>
      </c>
      <c r="D23" s="2">
        <f t="shared" si="0"/>
        <v>0.03125</v>
      </c>
    </row>
    <row r="24" spans="1:4">
      <c r="A24" s="8">
        <v>43572</v>
      </c>
      <c r="B24" s="2" t="s">
        <v>29</v>
      </c>
      <c r="C24" s="2">
        <v>0.25</v>
      </c>
      <c r="D24" s="2">
        <f t="shared" si="0"/>
        <v>0.03125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ref="D68:D79" si="1">C68/8</f>
        <v>0</v>
      </c>
    </row>
    <row r="69" spans="4:4">
      <c r="D69" s="2">
        <f t="shared" si="1"/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80"/>
  <sheetViews>
    <sheetView workbookViewId="0">
      <selection activeCell="A23" sqref="$A23:$XFD23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59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9">
      <c r="A4" s="8">
        <v>43269</v>
      </c>
      <c r="B4" s="2" t="s">
        <v>27</v>
      </c>
      <c r="C4" s="2">
        <v>68</v>
      </c>
      <c r="D4" s="2">
        <f>C4/8</f>
        <v>8.5</v>
      </c>
      <c r="E4" s="2">
        <v>1.1</v>
      </c>
      <c r="F4" s="2" t="s">
        <v>39</v>
      </c>
      <c r="I4" s="2" t="s">
        <v>40</v>
      </c>
    </row>
    <row r="5" spans="1:9">
      <c r="A5" s="8">
        <v>43321</v>
      </c>
      <c r="B5" s="2" t="s">
        <v>25</v>
      </c>
      <c r="C5" s="2">
        <v>-28</v>
      </c>
      <c r="D5" s="2">
        <f t="shared" ref="D5:D68" si="0">C5/8</f>
        <v>-3.5</v>
      </c>
      <c r="I5" s="2" t="s">
        <v>64</v>
      </c>
    </row>
    <row r="6" spans="1:4">
      <c r="A6" s="8">
        <v>43329</v>
      </c>
      <c r="B6" s="2" t="s">
        <v>25</v>
      </c>
      <c r="C6" s="2">
        <v>-4</v>
      </c>
      <c r="D6" s="2">
        <f t="shared" si="0"/>
        <v>-0.5</v>
      </c>
    </row>
    <row r="7" spans="1:4">
      <c r="A7" s="8">
        <v>43332</v>
      </c>
      <c r="B7" s="2" t="s">
        <v>26</v>
      </c>
      <c r="C7" s="2">
        <v>-15.2</v>
      </c>
      <c r="D7" s="2">
        <f t="shared" si="0"/>
        <v>-1.9</v>
      </c>
    </row>
    <row r="8" spans="1:4">
      <c r="A8" s="8">
        <v>43363</v>
      </c>
      <c r="B8" s="2" t="s">
        <v>27</v>
      </c>
      <c r="C8" s="2">
        <v>0.25</v>
      </c>
      <c r="D8" s="2">
        <f t="shared" si="0"/>
        <v>0.03125</v>
      </c>
    </row>
    <row r="9" spans="1:4">
      <c r="A9" s="8">
        <v>43369</v>
      </c>
      <c r="B9" s="2" t="s">
        <v>27</v>
      </c>
      <c r="C9" s="2">
        <v>0.5</v>
      </c>
      <c r="D9" s="2">
        <f t="shared" si="0"/>
        <v>0.0625</v>
      </c>
    </row>
    <row r="10" spans="1:4">
      <c r="A10" s="8">
        <v>43411</v>
      </c>
      <c r="B10" s="2" t="s">
        <v>28</v>
      </c>
      <c r="C10" s="2">
        <v>0.25</v>
      </c>
      <c r="D10" s="2">
        <f t="shared" si="0"/>
        <v>0.03125</v>
      </c>
    </row>
    <row r="11" spans="1:4">
      <c r="A11" s="8">
        <v>43418</v>
      </c>
      <c r="B11" s="2" t="s">
        <v>28</v>
      </c>
      <c r="C11" s="2">
        <v>0.25</v>
      </c>
      <c r="D11" s="2">
        <f t="shared" si="0"/>
        <v>0.03125</v>
      </c>
    </row>
    <row r="12" spans="1:4">
      <c r="A12" s="8">
        <v>43474</v>
      </c>
      <c r="B12" s="2" t="s">
        <v>28</v>
      </c>
      <c r="C12" s="2">
        <v>0.25</v>
      </c>
      <c r="D12" s="2">
        <f t="shared" si="0"/>
        <v>0.03125</v>
      </c>
    </row>
    <row r="13" spans="1:4">
      <c r="A13" s="8">
        <v>43497</v>
      </c>
      <c r="B13" s="2" t="s">
        <v>28</v>
      </c>
      <c r="C13" s="2">
        <v>0.25</v>
      </c>
      <c r="D13" s="2">
        <f t="shared" si="0"/>
        <v>0.03125</v>
      </c>
    </row>
    <row r="14" spans="1:4">
      <c r="A14" s="8">
        <v>43497</v>
      </c>
      <c r="B14" s="2" t="s">
        <v>28</v>
      </c>
      <c r="C14" s="2">
        <v>0.25</v>
      </c>
      <c r="D14" s="2">
        <f t="shared" si="0"/>
        <v>0.03125</v>
      </c>
    </row>
    <row r="15" spans="1:4">
      <c r="A15" s="8">
        <v>43513</v>
      </c>
      <c r="B15" s="2" t="s">
        <v>27</v>
      </c>
      <c r="C15" s="2">
        <v>0.25</v>
      </c>
      <c r="D15" s="2">
        <f t="shared" si="0"/>
        <v>0.03125</v>
      </c>
    </row>
    <row r="16" spans="1:4">
      <c r="A16" s="8">
        <v>43520</v>
      </c>
      <c r="B16" s="2" t="s">
        <v>29</v>
      </c>
      <c r="C16" s="2">
        <v>0.25</v>
      </c>
      <c r="D16" s="2">
        <f t="shared" si="0"/>
        <v>0.03125</v>
      </c>
    </row>
    <row r="17" spans="1:4">
      <c r="A17" s="8">
        <v>43536</v>
      </c>
      <c r="B17" s="2" t="s">
        <v>29</v>
      </c>
      <c r="C17" s="2">
        <v>0.25</v>
      </c>
      <c r="D17" s="2">
        <f t="shared" si="0"/>
        <v>0.03125</v>
      </c>
    </row>
    <row r="18" spans="1:4">
      <c r="A18" s="8">
        <v>43549</v>
      </c>
      <c r="B18" s="2" t="s">
        <v>29</v>
      </c>
      <c r="C18" s="2">
        <v>0.25</v>
      </c>
      <c r="D18" s="2">
        <f t="shared" si="0"/>
        <v>0.03125</v>
      </c>
    </row>
    <row r="19" spans="1:4">
      <c r="A19" s="8">
        <v>43550</v>
      </c>
      <c r="B19" s="2" t="s">
        <v>29</v>
      </c>
      <c r="C19" s="2">
        <v>0.25</v>
      </c>
      <c r="D19" s="2">
        <f t="shared" si="0"/>
        <v>0.03125</v>
      </c>
    </row>
    <row r="20" spans="1:4">
      <c r="A20" s="8">
        <v>43564</v>
      </c>
      <c r="B20" s="2" t="s">
        <v>27</v>
      </c>
      <c r="C20" s="2">
        <v>0.25</v>
      </c>
      <c r="D20" s="2">
        <f t="shared" si="0"/>
        <v>0.03125</v>
      </c>
    </row>
    <row r="21" spans="1:4">
      <c r="A21" s="8">
        <v>43566</v>
      </c>
      <c r="B21" s="2" t="s">
        <v>27</v>
      </c>
      <c r="C21" s="2">
        <v>0.25</v>
      </c>
      <c r="D21" s="2">
        <f t="shared" si="0"/>
        <v>0.03125</v>
      </c>
    </row>
    <row r="22" spans="1:4">
      <c r="A22" s="8">
        <v>43570</v>
      </c>
      <c r="B22" s="2" t="s">
        <v>29</v>
      </c>
      <c r="C22" s="2">
        <v>0.25</v>
      </c>
      <c r="D22" s="2">
        <f t="shared" si="0"/>
        <v>0.03125</v>
      </c>
    </row>
    <row r="23" spans="1:4">
      <c r="A23" s="8">
        <v>43572</v>
      </c>
      <c r="B23" s="2" t="s">
        <v>29</v>
      </c>
      <c r="C23" s="2">
        <v>0.25</v>
      </c>
      <c r="D23" s="2">
        <f t="shared" si="0"/>
        <v>0.03125</v>
      </c>
    </row>
    <row r="24" spans="4:4">
      <c r="D24" s="2">
        <f t="shared" si="0"/>
        <v>0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si="0"/>
        <v>0</v>
      </c>
    </row>
    <row r="69" spans="4:4">
      <c r="D69" s="2">
        <f t="shared" ref="D69:D80" si="1">C69/8</f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  <row r="80" spans="4:4">
      <c r="D80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79"/>
  <sheetViews>
    <sheetView workbookViewId="0">
      <selection activeCell="A23" sqref="$A23:$XFD23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60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9">
      <c r="A4" s="8">
        <v>43252</v>
      </c>
      <c r="B4" s="2" t="s">
        <v>27</v>
      </c>
      <c r="C4" s="2">
        <v>56</v>
      </c>
      <c r="D4" s="2">
        <f t="shared" ref="D4:D67" si="0">C4/8</f>
        <v>7</v>
      </c>
      <c r="I4" s="2" t="s">
        <v>47</v>
      </c>
    </row>
    <row r="5" spans="1:9">
      <c r="A5" s="8">
        <v>43321</v>
      </c>
      <c r="B5" s="2" t="s">
        <v>25</v>
      </c>
      <c r="C5" s="2">
        <v>-12</v>
      </c>
      <c r="D5" s="2">
        <f t="shared" si="0"/>
        <v>-1.5</v>
      </c>
      <c r="I5" s="2" t="s">
        <v>64</v>
      </c>
    </row>
    <row r="6" spans="1:4">
      <c r="A6" s="8">
        <v>43329</v>
      </c>
      <c r="B6" s="2" t="s">
        <v>25</v>
      </c>
      <c r="C6" s="2">
        <v>-0.25</v>
      </c>
      <c r="D6" s="2">
        <f t="shared" si="0"/>
        <v>-0.03125</v>
      </c>
    </row>
    <row r="7" spans="1:4">
      <c r="A7" s="8">
        <v>43332</v>
      </c>
      <c r="B7" s="2" t="s">
        <v>26</v>
      </c>
      <c r="C7" s="2">
        <v>-15.2</v>
      </c>
      <c r="D7" s="2">
        <f t="shared" si="0"/>
        <v>-1.9</v>
      </c>
    </row>
    <row r="8" spans="1:4">
      <c r="A8" s="8">
        <v>43363</v>
      </c>
      <c r="B8" s="2" t="s">
        <v>27</v>
      </c>
      <c r="C8" s="2">
        <v>1</v>
      </c>
      <c r="D8" s="2">
        <f t="shared" si="0"/>
        <v>0.125</v>
      </c>
    </row>
    <row r="9" spans="1:4">
      <c r="A9" s="8">
        <v>43369</v>
      </c>
      <c r="B9" s="2" t="s">
        <v>27</v>
      </c>
      <c r="C9" s="2">
        <v>0.5</v>
      </c>
      <c r="D9" s="2">
        <f t="shared" si="0"/>
        <v>0.0625</v>
      </c>
    </row>
    <row r="10" spans="1:4">
      <c r="A10" s="8">
        <v>43377</v>
      </c>
      <c r="B10" s="2" t="s">
        <v>27</v>
      </c>
      <c r="C10" s="2">
        <v>0.25</v>
      </c>
      <c r="D10" s="2">
        <f t="shared" si="0"/>
        <v>0.03125</v>
      </c>
    </row>
    <row r="11" spans="1:4">
      <c r="A11" s="8">
        <v>43411</v>
      </c>
      <c r="B11" s="2" t="s">
        <v>28</v>
      </c>
      <c r="C11" s="2">
        <v>0.25</v>
      </c>
      <c r="D11" s="2">
        <f t="shared" si="0"/>
        <v>0.03125</v>
      </c>
    </row>
    <row r="12" spans="1:4">
      <c r="A12" s="8">
        <v>43418</v>
      </c>
      <c r="B12" s="2" t="s">
        <v>28</v>
      </c>
      <c r="C12" s="2">
        <v>0.5</v>
      </c>
      <c r="D12" s="2">
        <f t="shared" si="0"/>
        <v>0.0625</v>
      </c>
    </row>
    <row r="13" spans="1:4">
      <c r="A13" s="8">
        <v>43497</v>
      </c>
      <c r="B13" s="2" t="s">
        <v>28</v>
      </c>
      <c r="C13" s="2">
        <v>0.25</v>
      </c>
      <c r="D13" s="2">
        <f t="shared" si="0"/>
        <v>0.03125</v>
      </c>
    </row>
    <row r="14" spans="1:4">
      <c r="A14" s="8">
        <v>43498</v>
      </c>
      <c r="B14" s="2" t="s">
        <v>28</v>
      </c>
      <c r="C14" s="2">
        <v>0.25</v>
      </c>
      <c r="D14" s="2">
        <f t="shared" si="0"/>
        <v>0.03125</v>
      </c>
    </row>
    <row r="15" spans="1:4">
      <c r="A15" s="8">
        <v>43513</v>
      </c>
      <c r="B15" s="2" t="s">
        <v>27</v>
      </c>
      <c r="C15" s="2">
        <v>0.25</v>
      </c>
      <c r="D15" s="2">
        <f t="shared" si="0"/>
        <v>0.03125</v>
      </c>
    </row>
    <row r="16" spans="1:4">
      <c r="A16" s="8">
        <v>43520</v>
      </c>
      <c r="B16" s="2" t="s">
        <v>29</v>
      </c>
      <c r="C16" s="2">
        <v>0.25</v>
      </c>
      <c r="D16" s="2">
        <f t="shared" si="0"/>
        <v>0.03125</v>
      </c>
    </row>
    <row r="17" spans="1:4">
      <c r="A17" s="8">
        <v>43536</v>
      </c>
      <c r="B17" s="2" t="s">
        <v>29</v>
      </c>
      <c r="C17" s="2">
        <v>0.25</v>
      </c>
      <c r="D17" s="2">
        <f t="shared" si="0"/>
        <v>0.03125</v>
      </c>
    </row>
    <row r="18" spans="1:4">
      <c r="A18" s="8">
        <v>43549</v>
      </c>
      <c r="B18" s="2" t="s">
        <v>29</v>
      </c>
      <c r="C18" s="2">
        <v>0.25</v>
      </c>
      <c r="D18" s="2">
        <f t="shared" si="0"/>
        <v>0.03125</v>
      </c>
    </row>
    <row r="19" spans="1:4">
      <c r="A19" s="8">
        <v>43550</v>
      </c>
      <c r="B19" s="2" t="s">
        <v>29</v>
      </c>
      <c r="C19" s="2">
        <v>0.25</v>
      </c>
      <c r="D19" s="2">
        <f t="shared" si="0"/>
        <v>0.03125</v>
      </c>
    </row>
    <row r="20" spans="1:4">
      <c r="A20" s="8">
        <v>43564</v>
      </c>
      <c r="B20" s="2" t="s">
        <v>27</v>
      </c>
      <c r="C20" s="2">
        <v>0.25</v>
      </c>
      <c r="D20" s="2">
        <f t="shared" si="0"/>
        <v>0.03125</v>
      </c>
    </row>
    <row r="21" spans="1:4">
      <c r="A21" s="8">
        <v>43566</v>
      </c>
      <c r="B21" s="2" t="s">
        <v>27</v>
      </c>
      <c r="C21" s="2">
        <v>0.5</v>
      </c>
      <c r="D21" s="2">
        <f t="shared" si="0"/>
        <v>0.0625</v>
      </c>
    </row>
    <row r="22" spans="1:4">
      <c r="A22" s="8">
        <v>43570</v>
      </c>
      <c r="B22" s="2" t="s">
        <v>29</v>
      </c>
      <c r="C22" s="2">
        <v>0.25</v>
      </c>
      <c r="D22" s="2">
        <f t="shared" si="0"/>
        <v>0.03125</v>
      </c>
    </row>
    <row r="23" spans="1:4">
      <c r="A23" s="8">
        <v>43572</v>
      </c>
      <c r="B23" s="2" t="s">
        <v>29</v>
      </c>
      <c r="C23" s="2">
        <v>0.25</v>
      </c>
      <c r="D23" s="2">
        <f t="shared" si="0"/>
        <v>0.03125</v>
      </c>
    </row>
    <row r="24" spans="4:4">
      <c r="D24" s="2">
        <f t="shared" si="0"/>
        <v>0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ref="D68:D79" si="1">C68/8</f>
        <v>0</v>
      </c>
    </row>
    <row r="69" spans="4:4">
      <c r="D69" s="2">
        <f t="shared" si="1"/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80"/>
  <sheetViews>
    <sheetView workbookViewId="0">
      <selection activeCell="C12" sqref="C12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61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9">
      <c r="A4" s="8">
        <v>43269</v>
      </c>
      <c r="B4" s="2" t="s">
        <v>27</v>
      </c>
      <c r="C4" s="2">
        <v>80</v>
      </c>
      <c r="D4" s="2">
        <f>C4/8</f>
        <v>10</v>
      </c>
      <c r="E4" s="2">
        <v>1.2</v>
      </c>
      <c r="F4" s="2" t="s">
        <v>39</v>
      </c>
      <c r="I4" s="2" t="s">
        <v>40</v>
      </c>
    </row>
    <row r="5" spans="1:9">
      <c r="A5" s="8">
        <v>43313</v>
      </c>
      <c r="B5" s="2" t="s">
        <v>25</v>
      </c>
      <c r="C5" s="2">
        <v>-44</v>
      </c>
      <c r="D5" s="2">
        <f t="shared" ref="D5:D68" si="0">C5/8</f>
        <v>-5.5</v>
      </c>
      <c r="I5" s="2" t="s">
        <v>32</v>
      </c>
    </row>
    <row r="6" spans="1:9">
      <c r="A6" s="8">
        <v>43321</v>
      </c>
      <c r="B6" s="2" t="s">
        <v>25</v>
      </c>
      <c r="C6" s="2">
        <v>-28</v>
      </c>
      <c r="D6" s="2">
        <f t="shared" si="0"/>
        <v>-3.5</v>
      </c>
      <c r="I6" s="2" t="s">
        <v>64</v>
      </c>
    </row>
    <row r="7" spans="1:4">
      <c r="A7" s="8">
        <v>43329</v>
      </c>
      <c r="B7" s="2" t="s">
        <v>25</v>
      </c>
      <c r="C7" s="2">
        <v>0.25</v>
      </c>
      <c r="D7" s="2">
        <f t="shared" si="0"/>
        <v>0.03125</v>
      </c>
    </row>
    <row r="8" spans="1:4">
      <c r="A8" s="8">
        <v>43332</v>
      </c>
      <c r="B8" s="2" t="s">
        <v>26</v>
      </c>
      <c r="C8" s="2">
        <v>-15.2</v>
      </c>
      <c r="D8" s="2">
        <f t="shared" si="0"/>
        <v>-1.9</v>
      </c>
    </row>
    <row r="9" spans="1:4">
      <c r="A9" s="8">
        <v>43378</v>
      </c>
      <c r="B9" s="2" t="s">
        <v>28</v>
      </c>
      <c r="C9" s="2">
        <v>0.5</v>
      </c>
      <c r="D9" s="2">
        <f t="shared" si="0"/>
        <v>0.0625</v>
      </c>
    </row>
    <row r="10" spans="1:4">
      <c r="A10" s="8">
        <v>43412</v>
      </c>
      <c r="B10" s="2" t="s">
        <v>28</v>
      </c>
      <c r="C10" s="2">
        <v>0.5</v>
      </c>
      <c r="D10" s="2">
        <f t="shared" si="0"/>
        <v>0.0625</v>
      </c>
    </row>
    <row r="11" spans="1:4">
      <c r="A11" s="8">
        <v>43418</v>
      </c>
      <c r="B11" s="2" t="s">
        <v>28</v>
      </c>
      <c r="C11" s="2">
        <v>0.5</v>
      </c>
      <c r="D11" s="2">
        <f t="shared" si="0"/>
        <v>0.0625</v>
      </c>
    </row>
    <row r="12" spans="1:4">
      <c r="A12" s="8">
        <v>43513</v>
      </c>
      <c r="B12" s="2" t="s">
        <v>27</v>
      </c>
      <c r="C12" s="2">
        <v>0.25</v>
      </c>
      <c r="D12" s="2">
        <f t="shared" si="0"/>
        <v>0.03125</v>
      </c>
    </row>
    <row r="13" spans="4:4">
      <c r="D13" s="2">
        <f t="shared" si="0"/>
        <v>0</v>
      </c>
    </row>
    <row r="14" spans="4:4">
      <c r="D14" s="2">
        <f t="shared" si="0"/>
        <v>0</v>
      </c>
    </row>
    <row r="15" spans="4:4">
      <c r="D15" s="2">
        <f t="shared" si="0"/>
        <v>0</v>
      </c>
    </row>
    <row r="16" spans="1:4">
      <c r="A16" s="8"/>
      <c r="D16" s="2">
        <f t="shared" si="0"/>
        <v>0</v>
      </c>
    </row>
    <row r="17" spans="1:4">
      <c r="A17" s="8"/>
      <c r="D17" s="2">
        <f t="shared" si="0"/>
        <v>0</v>
      </c>
    </row>
    <row r="18" spans="1:4">
      <c r="A18" s="8"/>
      <c r="D18" s="2">
        <f t="shared" si="0"/>
        <v>0</v>
      </c>
    </row>
    <row r="19" spans="4:4">
      <c r="D19" s="2">
        <f t="shared" si="0"/>
        <v>0</v>
      </c>
    </row>
    <row r="20" spans="4:4">
      <c r="D20" s="2">
        <f t="shared" si="0"/>
        <v>0</v>
      </c>
    </row>
    <row r="21" spans="4:4">
      <c r="D21" s="2">
        <f t="shared" si="0"/>
        <v>0</v>
      </c>
    </row>
    <row r="22" spans="4:4">
      <c r="D22" s="2">
        <f t="shared" si="0"/>
        <v>0</v>
      </c>
    </row>
    <row r="23" spans="4:4">
      <c r="D23" s="2">
        <f t="shared" si="0"/>
        <v>0</v>
      </c>
    </row>
    <row r="24" spans="4:4">
      <c r="D24" s="2">
        <f t="shared" si="0"/>
        <v>0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si="0"/>
        <v>0</v>
      </c>
    </row>
    <row r="69" spans="4:4">
      <c r="D69" s="2">
        <f t="shared" ref="D69:D80" si="1">C69/8</f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  <row r="80" spans="4:4">
      <c r="D80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80"/>
  <sheetViews>
    <sheetView workbookViewId="0">
      <selection activeCell="A22" sqref="$A22:$XFD22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62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9">
      <c r="A4" s="8">
        <v>43256</v>
      </c>
      <c r="B4" s="2" t="s">
        <v>27</v>
      </c>
      <c r="C4" s="2">
        <v>57</v>
      </c>
      <c r="D4" s="2">
        <f>C4/8</f>
        <v>7.125</v>
      </c>
      <c r="I4" s="2" t="s">
        <v>60</v>
      </c>
    </row>
    <row r="5" spans="1:9">
      <c r="A5" s="8">
        <v>43315</v>
      </c>
      <c r="B5" s="2" t="s">
        <v>27</v>
      </c>
      <c r="C5" s="2">
        <v>-8</v>
      </c>
      <c r="D5" s="2">
        <f t="shared" ref="D5:D68" si="0">C5/8</f>
        <v>-1</v>
      </c>
      <c r="I5" s="2" t="s">
        <v>67</v>
      </c>
    </row>
    <row r="6" spans="1:9">
      <c r="A6" s="8">
        <v>43321</v>
      </c>
      <c r="B6" s="2" t="s">
        <v>25</v>
      </c>
      <c r="C6" s="2">
        <v>-12</v>
      </c>
      <c r="D6" s="2">
        <f t="shared" si="0"/>
        <v>-1.5</v>
      </c>
      <c r="I6" s="2" t="s">
        <v>67</v>
      </c>
    </row>
    <row r="7" spans="1:4">
      <c r="A7" s="8">
        <v>43329</v>
      </c>
      <c r="B7" s="2" t="s">
        <v>25</v>
      </c>
      <c r="C7" s="2">
        <v>-1</v>
      </c>
      <c r="D7" s="2">
        <f t="shared" si="0"/>
        <v>-0.125</v>
      </c>
    </row>
    <row r="8" spans="1:4">
      <c r="A8" s="8">
        <v>43332</v>
      </c>
      <c r="B8" s="2" t="s">
        <v>26</v>
      </c>
      <c r="C8" s="2">
        <v>-15.2</v>
      </c>
      <c r="D8" s="2">
        <f t="shared" si="0"/>
        <v>-1.9</v>
      </c>
    </row>
    <row r="9" spans="1:4">
      <c r="A9" s="8">
        <v>43363</v>
      </c>
      <c r="B9" s="2" t="s">
        <v>27</v>
      </c>
      <c r="C9" s="2">
        <v>1</v>
      </c>
      <c r="D9" s="2">
        <f t="shared" si="0"/>
        <v>0.125</v>
      </c>
    </row>
    <row r="10" spans="1:4">
      <c r="A10" s="8">
        <v>43369</v>
      </c>
      <c r="B10" s="2" t="s">
        <v>27</v>
      </c>
      <c r="C10" s="2">
        <v>0.5</v>
      </c>
      <c r="D10" s="2">
        <f t="shared" si="0"/>
        <v>0.0625</v>
      </c>
    </row>
    <row r="11" spans="1:4">
      <c r="A11" s="8">
        <v>43378</v>
      </c>
      <c r="B11" s="2" t="s">
        <v>28</v>
      </c>
      <c r="C11" s="2">
        <v>0.5</v>
      </c>
      <c r="D11" s="2">
        <f t="shared" si="0"/>
        <v>0.0625</v>
      </c>
    </row>
    <row r="12" spans="1:4">
      <c r="A12" s="8">
        <v>43418</v>
      </c>
      <c r="B12" s="2" t="s">
        <v>28</v>
      </c>
      <c r="C12" s="2">
        <v>0.5</v>
      </c>
      <c r="D12" s="2">
        <f t="shared" si="0"/>
        <v>0.0625</v>
      </c>
    </row>
    <row r="13" spans="1:4">
      <c r="A13" s="8">
        <v>43474</v>
      </c>
      <c r="B13" s="2" t="s">
        <v>28</v>
      </c>
      <c r="C13" s="2">
        <v>0.5</v>
      </c>
      <c r="D13" s="2">
        <f t="shared" si="0"/>
        <v>0.0625</v>
      </c>
    </row>
    <row r="14" spans="1:4">
      <c r="A14" s="8">
        <v>43513</v>
      </c>
      <c r="B14" s="2" t="s">
        <v>27</v>
      </c>
      <c r="C14" s="2">
        <v>0.5</v>
      </c>
      <c r="D14" s="2">
        <f t="shared" si="0"/>
        <v>0.0625</v>
      </c>
    </row>
    <row r="15" spans="1:4">
      <c r="A15" s="8">
        <v>43520</v>
      </c>
      <c r="B15" s="2" t="s">
        <v>29</v>
      </c>
      <c r="C15" s="2">
        <v>0.25</v>
      </c>
      <c r="D15" s="2">
        <f t="shared" si="0"/>
        <v>0.03125</v>
      </c>
    </row>
    <row r="16" spans="1:4">
      <c r="A16" s="8">
        <v>43536</v>
      </c>
      <c r="B16" s="2" t="s">
        <v>29</v>
      </c>
      <c r="C16" s="2">
        <v>0.25</v>
      </c>
      <c r="D16" s="2">
        <f t="shared" si="0"/>
        <v>0.03125</v>
      </c>
    </row>
    <row r="17" spans="1:4">
      <c r="A17" s="8">
        <v>43549</v>
      </c>
      <c r="B17" s="2" t="s">
        <v>29</v>
      </c>
      <c r="C17" s="2">
        <v>0.5</v>
      </c>
      <c r="D17" s="2">
        <f t="shared" si="0"/>
        <v>0.0625</v>
      </c>
    </row>
    <row r="18" spans="1:4">
      <c r="A18" s="8">
        <v>43550</v>
      </c>
      <c r="B18" s="2" t="s">
        <v>29</v>
      </c>
      <c r="C18" s="2">
        <v>0.5</v>
      </c>
      <c r="D18" s="2">
        <f t="shared" si="0"/>
        <v>0.0625</v>
      </c>
    </row>
    <row r="19" spans="1:4">
      <c r="A19" s="8">
        <v>43564</v>
      </c>
      <c r="B19" s="2" t="s">
        <v>27</v>
      </c>
      <c r="C19" s="2">
        <v>0.25</v>
      </c>
      <c r="D19" s="2">
        <f t="shared" si="0"/>
        <v>0.03125</v>
      </c>
    </row>
    <row r="20" spans="1:4">
      <c r="A20" s="8">
        <v>43566</v>
      </c>
      <c r="B20" s="2" t="s">
        <v>27</v>
      </c>
      <c r="C20" s="2">
        <v>0.25</v>
      </c>
      <c r="D20" s="2">
        <f t="shared" si="0"/>
        <v>0.03125</v>
      </c>
    </row>
    <row r="21" spans="1:4">
      <c r="A21" s="8">
        <v>43570</v>
      </c>
      <c r="B21" s="2" t="s">
        <v>29</v>
      </c>
      <c r="C21" s="2">
        <v>0.5</v>
      </c>
      <c r="D21" s="2">
        <f t="shared" si="0"/>
        <v>0.0625</v>
      </c>
    </row>
    <row r="22" spans="1:4">
      <c r="A22" s="8">
        <v>43572</v>
      </c>
      <c r="B22" s="2" t="s">
        <v>29</v>
      </c>
      <c r="C22" s="2">
        <v>0.5</v>
      </c>
      <c r="D22" s="2">
        <f t="shared" si="0"/>
        <v>0.0625</v>
      </c>
    </row>
    <row r="23" spans="4:4">
      <c r="D23" s="2">
        <f t="shared" si="0"/>
        <v>0</v>
      </c>
    </row>
    <row r="24" spans="4:4">
      <c r="D24" s="2">
        <f t="shared" si="0"/>
        <v>0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si="0"/>
        <v>0</v>
      </c>
    </row>
    <row r="69" spans="4:4">
      <c r="D69" s="2">
        <f t="shared" ref="D69:D80" si="1">C69/8</f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  <row r="80" spans="4:4">
      <c r="D80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80"/>
  <sheetViews>
    <sheetView workbookViewId="0">
      <selection activeCell="A21" sqref="$A21:$XFD21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63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9">
      <c r="A4" s="8">
        <v>43269</v>
      </c>
      <c r="B4" s="2" t="s">
        <v>27</v>
      </c>
      <c r="C4" s="2">
        <v>55</v>
      </c>
      <c r="D4" s="2">
        <f>C4/8</f>
        <v>6.875</v>
      </c>
      <c r="E4" s="2">
        <v>1</v>
      </c>
      <c r="F4" s="2" t="s">
        <v>39</v>
      </c>
      <c r="I4" s="2" t="s">
        <v>68</v>
      </c>
    </row>
    <row r="5" spans="1:9">
      <c r="A5" s="8">
        <v>43315</v>
      </c>
      <c r="B5" s="2" t="s">
        <v>27</v>
      </c>
      <c r="C5" s="2">
        <v>-12</v>
      </c>
      <c r="D5" s="2">
        <f t="shared" ref="D5:D68" si="0">C5/8</f>
        <v>-1.5</v>
      </c>
      <c r="I5" s="2" t="s">
        <v>69</v>
      </c>
    </row>
    <row r="6" spans="1:4">
      <c r="A6" s="8">
        <v>43322</v>
      </c>
      <c r="B6" s="2" t="s">
        <v>25</v>
      </c>
      <c r="C6" s="2">
        <v>-2</v>
      </c>
      <c r="D6" s="2">
        <f t="shared" si="0"/>
        <v>-0.25</v>
      </c>
    </row>
    <row r="7" spans="1:4">
      <c r="A7" s="8">
        <v>43329</v>
      </c>
      <c r="B7" s="2" t="s">
        <v>25</v>
      </c>
      <c r="C7" s="2">
        <v>-4</v>
      </c>
      <c r="D7" s="2">
        <f t="shared" si="0"/>
        <v>-0.5</v>
      </c>
    </row>
    <row r="8" spans="1:4">
      <c r="A8" s="8">
        <v>43332</v>
      </c>
      <c r="B8" s="2" t="s">
        <v>26</v>
      </c>
      <c r="C8" s="2">
        <v>-15.2</v>
      </c>
      <c r="D8" s="2">
        <f t="shared" si="0"/>
        <v>-1.9</v>
      </c>
    </row>
    <row r="9" spans="1:4">
      <c r="A9" s="8">
        <v>43364</v>
      </c>
      <c r="B9" s="2" t="s">
        <v>28</v>
      </c>
      <c r="C9" s="2">
        <v>1</v>
      </c>
      <c r="D9" s="2">
        <f t="shared" si="0"/>
        <v>0.125</v>
      </c>
    </row>
    <row r="10" spans="1:4">
      <c r="A10" s="8">
        <v>43369</v>
      </c>
      <c r="B10" s="2" t="s">
        <v>27</v>
      </c>
      <c r="C10" s="2">
        <v>0.5</v>
      </c>
      <c r="D10" s="2">
        <f t="shared" si="0"/>
        <v>0.0625</v>
      </c>
    </row>
    <row r="11" spans="1:4">
      <c r="A11" s="8">
        <v>43381</v>
      </c>
      <c r="B11" s="2" t="s">
        <v>28</v>
      </c>
      <c r="C11" s="2">
        <v>0.5</v>
      </c>
      <c r="D11" s="2">
        <f t="shared" si="0"/>
        <v>0.0625</v>
      </c>
    </row>
    <row r="12" spans="1:4">
      <c r="A12" s="8">
        <v>43412</v>
      </c>
      <c r="B12" s="2" t="s">
        <v>28</v>
      </c>
      <c r="C12" s="2">
        <v>0.5</v>
      </c>
      <c r="D12" s="2">
        <f t="shared" si="0"/>
        <v>0.0625</v>
      </c>
    </row>
    <row r="13" spans="1:4">
      <c r="A13" s="8">
        <v>43513</v>
      </c>
      <c r="B13" s="2" t="s">
        <v>27</v>
      </c>
      <c r="C13" s="2">
        <v>0.5</v>
      </c>
      <c r="D13" s="2">
        <f t="shared" si="0"/>
        <v>0.0625</v>
      </c>
    </row>
    <row r="14" spans="1:4">
      <c r="A14" s="8">
        <v>43520</v>
      </c>
      <c r="B14" s="2" t="s">
        <v>29</v>
      </c>
      <c r="C14" s="2">
        <v>0.25</v>
      </c>
      <c r="D14" s="2">
        <f t="shared" si="0"/>
        <v>0.03125</v>
      </c>
    </row>
    <row r="15" spans="1:4">
      <c r="A15" s="8">
        <v>43536</v>
      </c>
      <c r="B15" s="2" t="s">
        <v>29</v>
      </c>
      <c r="C15" s="2">
        <v>0.25</v>
      </c>
      <c r="D15" s="2">
        <f t="shared" si="0"/>
        <v>0.03125</v>
      </c>
    </row>
    <row r="16" spans="1:4">
      <c r="A16" s="8">
        <v>43549</v>
      </c>
      <c r="B16" s="2" t="s">
        <v>29</v>
      </c>
      <c r="C16" s="2">
        <v>0.5</v>
      </c>
      <c r="D16" s="2">
        <f t="shared" si="0"/>
        <v>0.0625</v>
      </c>
    </row>
    <row r="17" spans="1:4">
      <c r="A17" s="8">
        <v>43550</v>
      </c>
      <c r="B17" s="2" t="s">
        <v>29</v>
      </c>
      <c r="C17" s="2">
        <v>0.5</v>
      </c>
      <c r="D17" s="2">
        <f t="shared" si="0"/>
        <v>0.0625</v>
      </c>
    </row>
    <row r="18" spans="1:4">
      <c r="A18" s="8">
        <v>43564</v>
      </c>
      <c r="B18" s="2" t="s">
        <v>27</v>
      </c>
      <c r="C18" s="2">
        <v>0.25</v>
      </c>
      <c r="D18" s="2">
        <f t="shared" si="0"/>
        <v>0.03125</v>
      </c>
    </row>
    <row r="19" spans="1:4">
      <c r="A19" s="8">
        <v>43566</v>
      </c>
      <c r="B19" s="2" t="s">
        <v>27</v>
      </c>
      <c r="C19" s="2">
        <v>0.25</v>
      </c>
      <c r="D19" s="2">
        <f t="shared" si="0"/>
        <v>0.03125</v>
      </c>
    </row>
    <row r="20" spans="1:4">
      <c r="A20" s="8">
        <v>43570</v>
      </c>
      <c r="B20" s="2" t="s">
        <v>29</v>
      </c>
      <c r="C20" s="2">
        <v>0.5</v>
      </c>
      <c r="D20" s="2">
        <f t="shared" si="0"/>
        <v>0.0625</v>
      </c>
    </row>
    <row r="21" spans="1:4">
      <c r="A21" s="8">
        <v>43572</v>
      </c>
      <c r="B21" s="2" t="s">
        <v>29</v>
      </c>
      <c r="C21" s="2">
        <v>0.5</v>
      </c>
      <c r="D21" s="2">
        <f t="shared" si="0"/>
        <v>0.0625</v>
      </c>
    </row>
    <row r="22" spans="4:4">
      <c r="D22" s="2">
        <f t="shared" si="0"/>
        <v>0</v>
      </c>
    </row>
    <row r="23" spans="4:4">
      <c r="D23" s="2">
        <f t="shared" si="0"/>
        <v>0</v>
      </c>
    </row>
    <row r="24" spans="4:4">
      <c r="D24" s="2">
        <f t="shared" si="0"/>
        <v>0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si="0"/>
        <v>0</v>
      </c>
    </row>
    <row r="69" spans="4:4">
      <c r="D69" s="2">
        <f t="shared" ref="D69:D80" si="1">C69/8</f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  <row r="80" spans="4:4">
      <c r="D80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80"/>
  <sheetViews>
    <sheetView workbookViewId="0">
      <selection activeCell="A25" sqref="$A25:$XFD25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64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9">
      <c r="A4" s="8">
        <v>43255</v>
      </c>
      <c r="B4" s="2" t="s">
        <v>27</v>
      </c>
      <c r="C4" s="2">
        <v>60</v>
      </c>
      <c r="D4" s="2">
        <f>C4/8</f>
        <v>7.5</v>
      </c>
      <c r="I4" s="2" t="s">
        <v>60</v>
      </c>
    </row>
    <row r="5" spans="1:9">
      <c r="A5" s="8">
        <v>43305</v>
      </c>
      <c r="B5" s="2" t="s">
        <v>25</v>
      </c>
      <c r="C5" s="2">
        <v>-15</v>
      </c>
      <c r="D5" s="2">
        <f t="shared" ref="D5:D68" si="0">C5/8</f>
        <v>-1.875</v>
      </c>
      <c r="I5" s="2" t="s">
        <v>70</v>
      </c>
    </row>
    <row r="6" spans="1:9">
      <c r="A6" s="8">
        <v>43315</v>
      </c>
      <c r="B6" s="2" t="s">
        <v>27</v>
      </c>
      <c r="C6" s="2">
        <v>-3</v>
      </c>
      <c r="D6" s="2">
        <f t="shared" si="0"/>
        <v>-0.375</v>
      </c>
      <c r="I6" s="2" t="s">
        <v>69</v>
      </c>
    </row>
    <row r="7" spans="1:4">
      <c r="A7" s="8">
        <v>43322</v>
      </c>
      <c r="B7" s="2" t="s">
        <v>25</v>
      </c>
      <c r="C7" s="2">
        <v>-4</v>
      </c>
      <c r="D7" s="2">
        <f t="shared" si="0"/>
        <v>-0.5</v>
      </c>
    </row>
    <row r="8" spans="1:4">
      <c r="A8" s="8">
        <v>43329</v>
      </c>
      <c r="B8" s="2" t="s">
        <v>25</v>
      </c>
      <c r="C8" s="2">
        <v>0.25</v>
      </c>
      <c r="D8" s="2">
        <f t="shared" si="0"/>
        <v>0.03125</v>
      </c>
    </row>
    <row r="9" spans="1:4">
      <c r="A9" s="8">
        <v>43332</v>
      </c>
      <c r="B9" s="2" t="s">
        <v>26</v>
      </c>
      <c r="C9" s="2">
        <v>-15.2</v>
      </c>
      <c r="D9" s="2">
        <f t="shared" si="0"/>
        <v>-1.9</v>
      </c>
    </row>
    <row r="10" spans="1:4">
      <c r="A10" s="8">
        <v>43364</v>
      </c>
      <c r="B10" s="2" t="s">
        <v>28</v>
      </c>
      <c r="C10" s="2">
        <v>1</v>
      </c>
      <c r="D10" s="2">
        <f t="shared" si="0"/>
        <v>0.125</v>
      </c>
    </row>
    <row r="11" spans="1:4">
      <c r="A11" s="8">
        <v>43369</v>
      </c>
      <c r="B11" s="2" t="s">
        <v>27</v>
      </c>
      <c r="C11" s="2">
        <v>0.5</v>
      </c>
      <c r="D11" s="2">
        <f t="shared" si="0"/>
        <v>0.0625</v>
      </c>
    </row>
    <row r="12" spans="1:4">
      <c r="A12" s="8">
        <v>43381</v>
      </c>
      <c r="B12" s="2" t="s">
        <v>28</v>
      </c>
      <c r="C12" s="2">
        <v>0.5</v>
      </c>
      <c r="D12" s="2">
        <f t="shared" si="0"/>
        <v>0.0625</v>
      </c>
    </row>
    <row r="13" spans="1:4">
      <c r="A13" s="8">
        <v>43382</v>
      </c>
      <c r="B13" s="2" t="s">
        <v>28</v>
      </c>
      <c r="C13" s="2">
        <v>0.5</v>
      </c>
      <c r="D13" s="2">
        <f t="shared" si="0"/>
        <v>0.0625</v>
      </c>
    </row>
    <row r="14" spans="1:4">
      <c r="A14" s="8">
        <v>43418</v>
      </c>
      <c r="B14" s="2" t="s">
        <v>28</v>
      </c>
      <c r="C14" s="2">
        <v>0.25</v>
      </c>
      <c r="D14" s="2">
        <f t="shared" si="0"/>
        <v>0.03125</v>
      </c>
    </row>
    <row r="15" spans="1:4">
      <c r="A15" s="8">
        <v>43413</v>
      </c>
      <c r="B15" s="2" t="s">
        <v>28</v>
      </c>
      <c r="C15" s="2">
        <v>0.25</v>
      </c>
      <c r="D15" s="2">
        <f t="shared" si="0"/>
        <v>0.03125</v>
      </c>
    </row>
    <row r="16" spans="1:4">
      <c r="A16" s="8">
        <v>43474</v>
      </c>
      <c r="B16" s="2" t="s">
        <v>28</v>
      </c>
      <c r="C16" s="2">
        <v>0.25</v>
      </c>
      <c r="D16" s="2">
        <f t="shared" si="0"/>
        <v>0.03125</v>
      </c>
    </row>
    <row r="17" spans="1:4">
      <c r="A17" s="8">
        <v>43513</v>
      </c>
      <c r="B17" s="2" t="s">
        <v>27</v>
      </c>
      <c r="C17" s="2">
        <v>0.5</v>
      </c>
      <c r="D17" s="2">
        <f t="shared" si="0"/>
        <v>0.0625</v>
      </c>
    </row>
    <row r="18" spans="1:4">
      <c r="A18" s="8">
        <v>43523</v>
      </c>
      <c r="B18" s="2" t="s">
        <v>29</v>
      </c>
      <c r="C18" s="2">
        <v>0.25</v>
      </c>
      <c r="D18" s="2">
        <f t="shared" si="0"/>
        <v>0.03125</v>
      </c>
    </row>
    <row r="19" spans="1:4">
      <c r="A19" s="8">
        <v>43536</v>
      </c>
      <c r="B19" s="2" t="s">
        <v>29</v>
      </c>
      <c r="C19" s="2">
        <v>0.25</v>
      </c>
      <c r="D19" s="2">
        <f t="shared" si="0"/>
        <v>0.03125</v>
      </c>
    </row>
    <row r="20" spans="1:4">
      <c r="A20" s="8">
        <v>43549</v>
      </c>
      <c r="B20" s="2" t="s">
        <v>29</v>
      </c>
      <c r="C20" s="2">
        <v>0.5</v>
      </c>
      <c r="D20" s="2">
        <f t="shared" si="0"/>
        <v>0.0625</v>
      </c>
    </row>
    <row r="21" spans="1:4">
      <c r="A21" s="8">
        <v>43550</v>
      </c>
      <c r="B21" s="2" t="s">
        <v>29</v>
      </c>
      <c r="C21" s="2">
        <v>0.5</v>
      </c>
      <c r="D21" s="2">
        <f t="shared" si="0"/>
        <v>0.0625</v>
      </c>
    </row>
    <row r="22" spans="1:4">
      <c r="A22" s="8">
        <v>43564</v>
      </c>
      <c r="B22" s="2" t="s">
        <v>27</v>
      </c>
      <c r="C22" s="2">
        <v>0.25</v>
      </c>
      <c r="D22" s="2">
        <f t="shared" si="0"/>
        <v>0.03125</v>
      </c>
    </row>
    <row r="23" spans="1:4">
      <c r="A23" s="8">
        <v>43566</v>
      </c>
      <c r="B23" s="2" t="s">
        <v>27</v>
      </c>
      <c r="C23" s="2">
        <v>0.5</v>
      </c>
      <c r="D23" s="2">
        <f t="shared" si="0"/>
        <v>0.0625</v>
      </c>
    </row>
    <row r="24" spans="1:4">
      <c r="A24" s="8">
        <v>43570</v>
      </c>
      <c r="B24" s="2" t="s">
        <v>29</v>
      </c>
      <c r="C24" s="2">
        <v>0.5</v>
      </c>
      <c r="D24" s="2">
        <f t="shared" si="0"/>
        <v>0.0625</v>
      </c>
    </row>
    <row r="25" spans="1:4">
      <c r="A25" s="8">
        <v>43572</v>
      </c>
      <c r="B25" s="2" t="s">
        <v>29</v>
      </c>
      <c r="C25" s="2">
        <v>0.5</v>
      </c>
      <c r="D25" s="2">
        <f t="shared" si="0"/>
        <v>0.0625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si="0"/>
        <v>0</v>
      </c>
    </row>
    <row r="69" spans="4:4">
      <c r="D69" s="2">
        <f t="shared" ref="D69:D80" si="1">C69/8</f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  <row r="80" spans="4:4">
      <c r="D80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79"/>
  <sheetViews>
    <sheetView workbookViewId="0">
      <selection activeCell="A18" sqref="$A18:$XFD18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65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4">
      <c r="A4" s="8">
        <v>43250</v>
      </c>
      <c r="B4" s="2" t="s">
        <v>27</v>
      </c>
      <c r="C4" s="2">
        <v>100</v>
      </c>
      <c r="D4" s="2">
        <f t="shared" ref="D4:D67" si="0">C4/8</f>
        <v>12.5</v>
      </c>
    </row>
    <row r="5" spans="1:4">
      <c r="A5" s="8">
        <v>43315</v>
      </c>
      <c r="B5" s="2" t="s">
        <v>27</v>
      </c>
      <c r="C5" s="2">
        <v>72</v>
      </c>
      <c r="D5" s="2">
        <f t="shared" si="0"/>
        <v>9</v>
      </c>
    </row>
    <row r="6" spans="1:4">
      <c r="A6" s="8">
        <v>43322</v>
      </c>
      <c r="B6" s="2" t="s">
        <v>25</v>
      </c>
      <c r="C6" s="2">
        <v>16</v>
      </c>
      <c r="D6" s="2">
        <f t="shared" si="0"/>
        <v>2</v>
      </c>
    </row>
    <row r="7" spans="1:4">
      <c r="A7" s="8">
        <v>43329</v>
      </c>
      <c r="B7" s="2" t="s">
        <v>25</v>
      </c>
      <c r="C7" s="2">
        <v>8</v>
      </c>
      <c r="D7" s="2">
        <f t="shared" si="0"/>
        <v>1</v>
      </c>
    </row>
    <row r="8" spans="1:4">
      <c r="A8" s="8">
        <v>43332</v>
      </c>
      <c r="B8" s="2" t="s">
        <v>26</v>
      </c>
      <c r="C8" s="2">
        <v>-15.2</v>
      </c>
      <c r="D8" s="2">
        <f t="shared" si="0"/>
        <v>-1.9</v>
      </c>
    </row>
    <row r="9" spans="1:4">
      <c r="A9" s="8">
        <v>43364</v>
      </c>
      <c r="B9" s="2" t="s">
        <v>28</v>
      </c>
      <c r="C9" s="2">
        <v>1</v>
      </c>
      <c r="D9" s="2">
        <f t="shared" si="0"/>
        <v>0.125</v>
      </c>
    </row>
    <row r="10" spans="1:4">
      <c r="A10" s="8">
        <v>43369</v>
      </c>
      <c r="B10" s="2" t="s">
        <v>27</v>
      </c>
      <c r="C10" s="2">
        <v>0.5</v>
      </c>
      <c r="D10" s="2">
        <f t="shared" si="0"/>
        <v>0.0625</v>
      </c>
    </row>
    <row r="11" spans="1:4">
      <c r="A11" s="8">
        <v>43381</v>
      </c>
      <c r="B11" s="2" t="s">
        <v>28</v>
      </c>
      <c r="C11" s="2">
        <v>0.5</v>
      </c>
      <c r="D11" s="2">
        <f t="shared" si="0"/>
        <v>0.0625</v>
      </c>
    </row>
    <row r="12" spans="1:4">
      <c r="A12" s="8">
        <v>43412</v>
      </c>
      <c r="B12" s="2" t="s">
        <v>28</v>
      </c>
      <c r="C12" s="2">
        <v>0.5</v>
      </c>
      <c r="D12" s="2">
        <f t="shared" si="0"/>
        <v>0.0625</v>
      </c>
    </row>
    <row r="13" spans="1:4">
      <c r="A13" s="8">
        <v>43418</v>
      </c>
      <c r="B13" s="2" t="s">
        <v>28</v>
      </c>
      <c r="C13" s="2">
        <v>0.5</v>
      </c>
      <c r="D13" s="2">
        <f t="shared" si="0"/>
        <v>0.0625</v>
      </c>
    </row>
    <row r="14" spans="1:4">
      <c r="A14" s="8">
        <v>43520</v>
      </c>
      <c r="B14" s="2" t="s">
        <v>29</v>
      </c>
      <c r="C14" s="2">
        <v>0.25</v>
      </c>
      <c r="D14" s="2">
        <f t="shared" si="0"/>
        <v>0.03125</v>
      </c>
    </row>
    <row r="15" spans="1:4">
      <c r="A15" s="8">
        <v>43564</v>
      </c>
      <c r="B15" s="2" t="s">
        <v>27</v>
      </c>
      <c r="C15" s="2">
        <v>0.25</v>
      </c>
      <c r="D15" s="2">
        <f t="shared" si="0"/>
        <v>0.03125</v>
      </c>
    </row>
    <row r="16" spans="1:4">
      <c r="A16" s="8">
        <v>43566</v>
      </c>
      <c r="B16" s="2" t="s">
        <v>27</v>
      </c>
      <c r="C16" s="2">
        <v>0.25</v>
      </c>
      <c r="D16" s="2">
        <f t="shared" si="0"/>
        <v>0.03125</v>
      </c>
    </row>
    <row r="17" spans="1:4">
      <c r="A17" s="8">
        <v>43570</v>
      </c>
      <c r="B17" s="2" t="s">
        <v>29</v>
      </c>
      <c r="C17" s="2">
        <v>0.25</v>
      </c>
      <c r="D17" s="2">
        <f t="shared" si="0"/>
        <v>0.03125</v>
      </c>
    </row>
    <row r="18" spans="1:4">
      <c r="A18" s="8">
        <v>43572</v>
      </c>
      <c r="B18" s="2" t="s">
        <v>29</v>
      </c>
      <c r="C18" s="2">
        <v>0.25</v>
      </c>
      <c r="D18" s="2">
        <f t="shared" si="0"/>
        <v>0.03125</v>
      </c>
    </row>
    <row r="19" spans="4:4">
      <c r="D19" s="2">
        <f t="shared" si="0"/>
        <v>0</v>
      </c>
    </row>
    <row r="20" spans="4:4">
      <c r="D20" s="2">
        <f t="shared" si="0"/>
        <v>0</v>
      </c>
    </row>
    <row r="21" spans="4:4">
      <c r="D21" s="2">
        <f t="shared" si="0"/>
        <v>0</v>
      </c>
    </row>
    <row r="22" spans="4:4">
      <c r="D22" s="2">
        <f t="shared" si="0"/>
        <v>0</v>
      </c>
    </row>
    <row r="23" spans="4:4">
      <c r="D23" s="2">
        <f t="shared" si="0"/>
        <v>0</v>
      </c>
    </row>
    <row r="24" spans="4:4">
      <c r="D24" s="2">
        <f t="shared" si="0"/>
        <v>0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ht="13.5" customHeight="true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ref="D68:D79" si="1">C68/8</f>
        <v>0</v>
      </c>
    </row>
    <row r="69" spans="4:4">
      <c r="D69" s="2">
        <f t="shared" si="1"/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79"/>
  <sheetViews>
    <sheetView tabSelected="1" workbookViewId="0">
      <selection activeCell="E17" sqref="E17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66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4">
      <c r="A4" s="8">
        <v>43250</v>
      </c>
      <c r="B4" s="2" t="s">
        <v>27</v>
      </c>
      <c r="C4" s="2">
        <v>100</v>
      </c>
      <c r="D4" s="2">
        <f t="shared" ref="D4:D67" si="0">C4/8</f>
        <v>12.5</v>
      </c>
    </row>
    <row r="5" spans="1:9">
      <c r="A5" s="8">
        <v>43315</v>
      </c>
      <c r="B5" s="2" t="s">
        <v>27</v>
      </c>
      <c r="C5" s="2">
        <v>80</v>
      </c>
      <c r="D5" s="2">
        <f t="shared" si="0"/>
        <v>10</v>
      </c>
      <c r="I5" s="2" t="s">
        <v>69</v>
      </c>
    </row>
    <row r="6" spans="1:4">
      <c r="A6" s="8">
        <v>43322</v>
      </c>
      <c r="B6" s="2" t="s">
        <v>25</v>
      </c>
      <c r="C6" s="2">
        <v>8</v>
      </c>
      <c r="D6" s="2">
        <f t="shared" si="0"/>
        <v>1</v>
      </c>
    </row>
    <row r="7" spans="1:4">
      <c r="A7" s="8">
        <v>43329</v>
      </c>
      <c r="B7" s="2" t="s">
        <v>25</v>
      </c>
      <c r="C7" s="2" t="s">
        <v>71</v>
      </c>
      <c r="D7" s="2" t="e">
        <f t="shared" si="0"/>
        <v>#VALUE!</v>
      </c>
    </row>
    <row r="8" spans="1:4">
      <c r="A8" s="8">
        <v>43332</v>
      </c>
      <c r="B8" s="2" t="s">
        <v>26</v>
      </c>
      <c r="C8" s="2">
        <v>-15.2</v>
      </c>
      <c r="D8" s="2">
        <f t="shared" si="0"/>
        <v>-1.9</v>
      </c>
    </row>
    <row r="9" spans="1:4">
      <c r="A9" s="8">
        <v>43364</v>
      </c>
      <c r="B9" s="2" t="s">
        <v>28</v>
      </c>
      <c r="C9" s="2">
        <v>1</v>
      </c>
      <c r="D9" s="2">
        <f t="shared" si="0"/>
        <v>0.125</v>
      </c>
    </row>
    <row r="10" spans="1:4">
      <c r="A10" s="8">
        <v>43369</v>
      </c>
      <c r="B10" s="2" t="s">
        <v>27</v>
      </c>
      <c r="C10" s="2">
        <v>0.5</v>
      </c>
      <c r="D10" s="2">
        <f t="shared" si="0"/>
        <v>0.0625</v>
      </c>
    </row>
    <row r="11" spans="1:4">
      <c r="A11" s="8">
        <v>43382</v>
      </c>
      <c r="B11" s="2" t="s">
        <v>28</v>
      </c>
      <c r="C11" s="2">
        <v>0.5</v>
      </c>
      <c r="D11" s="2">
        <f t="shared" si="0"/>
        <v>0.0625</v>
      </c>
    </row>
    <row r="12" spans="1:4">
      <c r="A12" s="8">
        <v>43418</v>
      </c>
      <c r="B12" s="2" t="s">
        <v>28</v>
      </c>
      <c r="C12" s="2">
        <v>0.5</v>
      </c>
      <c r="D12" s="2">
        <f t="shared" si="0"/>
        <v>0.0625</v>
      </c>
    </row>
    <row r="13" spans="1:4">
      <c r="A13" s="8">
        <v>43413</v>
      </c>
      <c r="B13" s="2" t="s">
        <v>28</v>
      </c>
      <c r="C13" s="2">
        <v>0.5</v>
      </c>
      <c r="D13" s="2">
        <f t="shared" si="0"/>
        <v>0.0625</v>
      </c>
    </row>
    <row r="14" spans="1:4">
      <c r="A14" s="8">
        <v>43520</v>
      </c>
      <c r="B14" s="2" t="s">
        <v>29</v>
      </c>
      <c r="C14" s="2">
        <v>0.25</v>
      </c>
      <c r="D14" s="2">
        <f t="shared" si="0"/>
        <v>0.03125</v>
      </c>
    </row>
    <row r="15" spans="1:4">
      <c r="A15" s="8">
        <v>43523</v>
      </c>
      <c r="B15" s="2" t="s">
        <v>29</v>
      </c>
      <c r="C15" s="2">
        <v>0.25</v>
      </c>
      <c r="D15" s="2">
        <f t="shared" si="0"/>
        <v>0.03125</v>
      </c>
    </row>
    <row r="16" spans="1:4">
      <c r="A16" s="8">
        <v>43536</v>
      </c>
      <c r="B16" s="2" t="s">
        <v>29</v>
      </c>
      <c r="C16" s="2">
        <v>0.25</v>
      </c>
      <c r="D16" s="2">
        <f t="shared" si="0"/>
        <v>0.03125</v>
      </c>
    </row>
    <row r="17" spans="1:4">
      <c r="A17" s="8">
        <v>43549</v>
      </c>
      <c r="B17" s="2" t="s">
        <v>29</v>
      </c>
      <c r="C17" s="2">
        <v>0.5</v>
      </c>
      <c r="D17" s="2">
        <f t="shared" si="0"/>
        <v>0.0625</v>
      </c>
    </row>
    <row r="18" spans="1:4">
      <c r="A18" s="8">
        <v>43550</v>
      </c>
      <c r="B18" s="2" t="s">
        <v>29</v>
      </c>
      <c r="C18" s="2">
        <v>0.5</v>
      </c>
      <c r="D18" s="2">
        <f t="shared" si="0"/>
        <v>0.0625</v>
      </c>
    </row>
    <row r="19" spans="1:4">
      <c r="A19" s="8">
        <v>43564</v>
      </c>
      <c r="B19" s="2" t="s">
        <v>27</v>
      </c>
      <c r="C19" s="2">
        <v>0.25</v>
      </c>
      <c r="D19" s="2">
        <f t="shared" si="0"/>
        <v>0.03125</v>
      </c>
    </row>
    <row r="20" spans="1:4">
      <c r="A20" s="8">
        <v>43566</v>
      </c>
      <c r="B20" s="2" t="s">
        <v>27</v>
      </c>
      <c r="C20" s="2">
        <v>0.5</v>
      </c>
      <c r="D20" s="2">
        <f t="shared" si="0"/>
        <v>0.0625</v>
      </c>
    </row>
    <row r="21" spans="1:4">
      <c r="A21" s="8">
        <v>43570</v>
      </c>
      <c r="B21" s="2" t="s">
        <v>29</v>
      </c>
      <c r="C21" s="2">
        <v>0.5</v>
      </c>
      <c r="D21" s="2">
        <f t="shared" ref="D21:D22" si="1">C21/8</f>
        <v>0.0625</v>
      </c>
    </row>
    <row r="22" spans="1:4">
      <c r="A22" s="8">
        <v>43572</v>
      </c>
      <c r="B22" s="2" t="s">
        <v>29</v>
      </c>
      <c r="C22" s="2">
        <v>0.5</v>
      </c>
      <c r="D22" s="2">
        <f t="shared" si="1"/>
        <v>0.0625</v>
      </c>
    </row>
    <row r="23" spans="4:4">
      <c r="D23" s="2">
        <f t="shared" si="0"/>
        <v>0</v>
      </c>
    </row>
    <row r="24" spans="4:4">
      <c r="D24" s="2">
        <f t="shared" si="0"/>
        <v>0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ref="D68:D79" si="2">C68/8</f>
        <v>0</v>
      </c>
    </row>
    <row r="69" spans="4:4">
      <c r="D69" s="2">
        <f t="shared" si="2"/>
        <v>0</v>
      </c>
    </row>
    <row r="70" spans="4:4">
      <c r="D70" s="2">
        <f t="shared" si="2"/>
        <v>0</v>
      </c>
    </row>
    <row r="71" spans="4:4">
      <c r="D71" s="2">
        <f t="shared" si="2"/>
        <v>0</v>
      </c>
    </row>
    <row r="72" spans="4:4">
      <c r="D72" s="2">
        <f t="shared" si="2"/>
        <v>0</v>
      </c>
    </row>
    <row r="73" spans="4:4">
      <c r="D73" s="2">
        <f t="shared" si="2"/>
        <v>0</v>
      </c>
    </row>
    <row r="74" spans="4:4">
      <c r="D74" s="2">
        <f t="shared" si="2"/>
        <v>0</v>
      </c>
    </row>
    <row r="75" spans="4:4">
      <c r="D75" s="2">
        <f t="shared" si="2"/>
        <v>0</v>
      </c>
    </row>
    <row r="76" spans="4:4">
      <c r="D76" s="2">
        <f t="shared" si="2"/>
        <v>0</v>
      </c>
    </row>
    <row r="77" spans="4:4">
      <c r="D77" s="2">
        <f t="shared" si="2"/>
        <v>0</v>
      </c>
    </row>
    <row r="78" spans="4:4">
      <c r="D78" s="2">
        <f t="shared" si="2"/>
        <v>0</v>
      </c>
    </row>
    <row r="79" spans="4:4">
      <c r="D79" s="2">
        <f t="shared" si="2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79"/>
  <sheetViews>
    <sheetView workbookViewId="0">
      <selection activeCell="A23" sqref="$A23:$XFD23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67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4">
      <c r="A4" s="8">
        <v>43250</v>
      </c>
      <c r="B4" s="2" t="s">
        <v>27</v>
      </c>
      <c r="C4" s="2">
        <v>100</v>
      </c>
      <c r="D4" s="2">
        <f t="shared" ref="D4:D67" si="0">C4/8</f>
        <v>12.5</v>
      </c>
    </row>
    <row r="5" spans="1:9">
      <c r="A5" s="8">
        <v>43313</v>
      </c>
      <c r="B5" s="2" t="s">
        <v>25</v>
      </c>
      <c r="C5" s="2">
        <v>48</v>
      </c>
      <c r="D5" s="2">
        <f t="shared" si="0"/>
        <v>6</v>
      </c>
      <c r="I5" s="2" t="s">
        <v>72</v>
      </c>
    </row>
    <row r="6" spans="1:9">
      <c r="A6" s="8">
        <v>43315</v>
      </c>
      <c r="B6" s="2" t="s">
        <v>27</v>
      </c>
      <c r="C6" s="2">
        <v>16</v>
      </c>
      <c r="D6" s="2">
        <f t="shared" si="0"/>
        <v>2</v>
      </c>
      <c r="I6" s="2" t="s">
        <v>69</v>
      </c>
    </row>
    <row r="7" spans="1:9">
      <c r="A7" s="8">
        <v>43321</v>
      </c>
      <c r="B7" s="2" t="s">
        <v>25</v>
      </c>
      <c r="C7" s="2">
        <v>18</v>
      </c>
      <c r="D7" s="2">
        <f t="shared" si="0"/>
        <v>2.25</v>
      </c>
      <c r="I7" s="2" t="s">
        <v>69</v>
      </c>
    </row>
    <row r="8" spans="1:4">
      <c r="A8" s="8">
        <v>43329</v>
      </c>
      <c r="B8" s="2" t="s">
        <v>25</v>
      </c>
      <c r="C8" s="2">
        <v>4</v>
      </c>
      <c r="D8" s="2">
        <f t="shared" si="0"/>
        <v>0.5</v>
      </c>
    </row>
    <row r="9" spans="1:4">
      <c r="A9" s="8">
        <v>43332</v>
      </c>
      <c r="B9" s="2" t="s">
        <v>26</v>
      </c>
      <c r="C9" s="2">
        <v>-15.2</v>
      </c>
      <c r="D9" s="2">
        <f t="shared" si="0"/>
        <v>-1.9</v>
      </c>
    </row>
    <row r="10" spans="1:4">
      <c r="A10" s="8">
        <v>43363</v>
      </c>
      <c r="B10" s="2" t="s">
        <v>27</v>
      </c>
      <c r="C10" s="2">
        <v>1</v>
      </c>
      <c r="D10" s="2">
        <f t="shared" si="0"/>
        <v>0.125</v>
      </c>
    </row>
    <row r="11" spans="1:4">
      <c r="A11" s="8">
        <v>43369</v>
      </c>
      <c r="B11" s="2" t="s">
        <v>27</v>
      </c>
      <c r="C11" s="2">
        <v>0.5</v>
      </c>
      <c r="D11" s="2">
        <f t="shared" si="0"/>
        <v>0.0625</v>
      </c>
    </row>
    <row r="12" spans="1:4">
      <c r="A12" s="8">
        <v>43412</v>
      </c>
      <c r="B12" s="2" t="s">
        <v>28</v>
      </c>
      <c r="C12" s="2">
        <v>0.25</v>
      </c>
      <c r="D12" s="2">
        <f t="shared" si="0"/>
        <v>0.03125</v>
      </c>
    </row>
    <row r="13" spans="1:4">
      <c r="A13" s="8">
        <v>43418</v>
      </c>
      <c r="B13" s="2" t="s">
        <v>28</v>
      </c>
      <c r="C13" s="2">
        <v>0.5</v>
      </c>
      <c r="D13" s="2">
        <f t="shared" si="0"/>
        <v>0.0625</v>
      </c>
    </row>
    <row r="14" spans="1:4">
      <c r="A14" s="8">
        <v>43474</v>
      </c>
      <c r="B14" s="2" t="s">
        <v>28</v>
      </c>
      <c r="C14" s="2">
        <v>0.25</v>
      </c>
      <c r="D14" s="2">
        <f t="shared" si="0"/>
        <v>0.03125</v>
      </c>
    </row>
    <row r="15" spans="1:4">
      <c r="A15" s="8">
        <v>43513</v>
      </c>
      <c r="B15" s="2" t="s">
        <v>27</v>
      </c>
      <c r="C15" s="2">
        <v>0.25</v>
      </c>
      <c r="D15" s="2">
        <f t="shared" si="0"/>
        <v>0.03125</v>
      </c>
    </row>
    <row r="16" spans="1:4">
      <c r="A16" s="8">
        <v>43520</v>
      </c>
      <c r="B16" s="2" t="s">
        <v>29</v>
      </c>
      <c r="C16" s="2">
        <v>0.25</v>
      </c>
      <c r="D16" s="2">
        <f t="shared" si="0"/>
        <v>0.03125</v>
      </c>
    </row>
    <row r="17" spans="1:4">
      <c r="A17" s="8">
        <v>43536</v>
      </c>
      <c r="B17" s="2" t="s">
        <v>29</v>
      </c>
      <c r="C17" s="2">
        <v>0.25</v>
      </c>
      <c r="D17" s="2">
        <f t="shared" si="0"/>
        <v>0.03125</v>
      </c>
    </row>
    <row r="18" spans="1:4">
      <c r="A18" s="8">
        <v>43549</v>
      </c>
      <c r="B18" s="2" t="s">
        <v>29</v>
      </c>
      <c r="C18" s="2">
        <v>0.25</v>
      </c>
      <c r="D18" s="2">
        <f t="shared" si="0"/>
        <v>0.03125</v>
      </c>
    </row>
    <row r="19" spans="1:4">
      <c r="A19" s="8">
        <v>43550</v>
      </c>
      <c r="B19" s="2" t="s">
        <v>29</v>
      </c>
      <c r="C19" s="2">
        <v>0.25</v>
      </c>
      <c r="D19" s="2">
        <f t="shared" si="0"/>
        <v>0.03125</v>
      </c>
    </row>
    <row r="20" spans="1:4">
      <c r="A20" s="8">
        <v>43564</v>
      </c>
      <c r="B20" s="2" t="s">
        <v>27</v>
      </c>
      <c r="C20" s="2">
        <v>0.25</v>
      </c>
      <c r="D20" s="2">
        <f t="shared" si="0"/>
        <v>0.03125</v>
      </c>
    </row>
    <row r="21" spans="1:4">
      <c r="A21" s="8">
        <v>43566</v>
      </c>
      <c r="B21" s="2" t="s">
        <v>27</v>
      </c>
      <c r="C21" s="2">
        <v>0.5</v>
      </c>
      <c r="D21" s="2">
        <f t="shared" si="0"/>
        <v>0.0625</v>
      </c>
    </row>
    <row r="22" spans="1:4">
      <c r="A22" s="8">
        <v>43570</v>
      </c>
      <c r="B22" s="2" t="s">
        <v>29</v>
      </c>
      <c r="C22" s="2">
        <v>0.25</v>
      </c>
      <c r="D22" s="2">
        <f t="shared" si="0"/>
        <v>0.03125</v>
      </c>
    </row>
    <row r="23" spans="1:4">
      <c r="A23" s="8">
        <v>43572</v>
      </c>
      <c r="B23" s="2" t="s">
        <v>29</v>
      </c>
      <c r="C23" s="2">
        <v>0.25</v>
      </c>
      <c r="D23" s="2">
        <f t="shared" si="0"/>
        <v>0.03125</v>
      </c>
    </row>
    <row r="24" spans="4:4">
      <c r="D24" s="2">
        <f t="shared" si="0"/>
        <v>0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ref="D68:D79" si="1">C68/8</f>
        <v>0</v>
      </c>
    </row>
    <row r="69" spans="4:4">
      <c r="D69" s="2">
        <f t="shared" si="1"/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79"/>
  <sheetViews>
    <sheetView workbookViewId="0">
      <selection activeCell="A21" sqref="$A21:$XFD21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68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4">
      <c r="A4" s="8">
        <v>43250</v>
      </c>
      <c r="B4" s="2" t="s">
        <v>27</v>
      </c>
      <c r="C4" s="2">
        <v>108</v>
      </c>
      <c r="D4" s="2">
        <f t="shared" ref="D4:D67" si="0">C4/8</f>
        <v>13.5</v>
      </c>
    </row>
    <row r="5" spans="1:4">
      <c r="A5" s="8">
        <v>43322</v>
      </c>
      <c r="B5" s="2" t="s">
        <v>25</v>
      </c>
      <c r="C5" s="2">
        <v>80</v>
      </c>
      <c r="D5" s="2">
        <f t="shared" si="0"/>
        <v>10</v>
      </c>
    </row>
    <row r="6" spans="1:4">
      <c r="A6" s="8">
        <v>43329</v>
      </c>
      <c r="B6" s="2" t="s">
        <v>25</v>
      </c>
      <c r="C6" s="2">
        <v>4</v>
      </c>
      <c r="D6" s="2">
        <f t="shared" si="0"/>
        <v>0.5</v>
      </c>
    </row>
    <row r="7" spans="1:4">
      <c r="A7" s="8">
        <v>43332</v>
      </c>
      <c r="B7" s="2" t="s">
        <v>26</v>
      </c>
      <c r="C7" s="2">
        <v>-15.2</v>
      </c>
      <c r="D7" s="2">
        <f t="shared" si="0"/>
        <v>-1.9</v>
      </c>
    </row>
    <row r="8" spans="1:4">
      <c r="A8" s="8">
        <v>43364</v>
      </c>
      <c r="B8" s="2" t="s">
        <v>28</v>
      </c>
      <c r="C8" s="2">
        <v>1</v>
      </c>
      <c r="D8" s="2">
        <f t="shared" si="0"/>
        <v>0.125</v>
      </c>
    </row>
    <row r="9" spans="1:4">
      <c r="A9" s="8">
        <v>43369</v>
      </c>
      <c r="B9" s="2" t="s">
        <v>27</v>
      </c>
      <c r="C9" s="2">
        <v>0.25</v>
      </c>
      <c r="D9" s="2">
        <f t="shared" si="0"/>
        <v>0.03125</v>
      </c>
    </row>
    <row r="10" spans="1:4">
      <c r="A10" s="8">
        <v>43381</v>
      </c>
      <c r="B10" s="2" t="s">
        <v>28</v>
      </c>
      <c r="C10" s="2">
        <v>0.25</v>
      </c>
      <c r="D10" s="2">
        <f t="shared" si="0"/>
        <v>0.03125</v>
      </c>
    </row>
    <row r="11" spans="1:4">
      <c r="A11" s="8">
        <v>43418</v>
      </c>
      <c r="B11" s="2" t="s">
        <v>28</v>
      </c>
      <c r="C11" s="2">
        <v>0.5</v>
      </c>
      <c r="D11" s="2">
        <f t="shared" si="0"/>
        <v>0.0625</v>
      </c>
    </row>
    <row r="12" spans="1:4">
      <c r="A12" s="8">
        <v>43474</v>
      </c>
      <c r="B12" s="2" t="s">
        <v>28</v>
      </c>
      <c r="C12" s="2">
        <v>0.25</v>
      </c>
      <c r="D12" s="2">
        <f t="shared" si="0"/>
        <v>0.03125</v>
      </c>
    </row>
    <row r="13" spans="1:4">
      <c r="A13" s="8">
        <v>43513</v>
      </c>
      <c r="B13" s="2" t="s">
        <v>27</v>
      </c>
      <c r="C13" s="2">
        <v>0.25</v>
      </c>
      <c r="D13" s="2">
        <f t="shared" si="0"/>
        <v>0.03125</v>
      </c>
    </row>
    <row r="14" spans="1:4">
      <c r="A14" s="8">
        <v>43520</v>
      </c>
      <c r="B14" s="2" t="s">
        <v>29</v>
      </c>
      <c r="C14" s="2">
        <v>0.25</v>
      </c>
      <c r="D14" s="2">
        <f t="shared" si="0"/>
        <v>0.03125</v>
      </c>
    </row>
    <row r="15" spans="1:4">
      <c r="A15" s="8">
        <v>43536</v>
      </c>
      <c r="B15" s="2" t="s">
        <v>29</v>
      </c>
      <c r="C15" s="2">
        <v>0.25</v>
      </c>
      <c r="D15" s="2">
        <f t="shared" si="0"/>
        <v>0.03125</v>
      </c>
    </row>
    <row r="16" spans="1:4">
      <c r="A16" s="8">
        <v>43549</v>
      </c>
      <c r="B16" s="2" t="s">
        <v>29</v>
      </c>
      <c r="C16" s="2">
        <v>0.25</v>
      </c>
      <c r="D16" s="2">
        <f t="shared" si="0"/>
        <v>0.03125</v>
      </c>
    </row>
    <row r="17" spans="1:4">
      <c r="A17" s="8">
        <v>43550</v>
      </c>
      <c r="B17" s="2" t="s">
        <v>29</v>
      </c>
      <c r="C17" s="2">
        <v>0.25</v>
      </c>
      <c r="D17" s="2">
        <f t="shared" si="0"/>
        <v>0.03125</v>
      </c>
    </row>
    <row r="18" spans="1:4">
      <c r="A18" s="8">
        <v>43564</v>
      </c>
      <c r="B18" s="2" t="s">
        <v>27</v>
      </c>
      <c r="C18" s="2">
        <v>0.25</v>
      </c>
      <c r="D18" s="2">
        <f t="shared" si="0"/>
        <v>0.03125</v>
      </c>
    </row>
    <row r="19" spans="1:4">
      <c r="A19" s="8">
        <v>43566</v>
      </c>
      <c r="B19" s="2" t="s">
        <v>27</v>
      </c>
      <c r="C19" s="2">
        <v>0.5</v>
      </c>
      <c r="D19" s="2">
        <f t="shared" si="0"/>
        <v>0.0625</v>
      </c>
    </row>
    <row r="20" spans="1:4">
      <c r="A20" s="8">
        <v>43570</v>
      </c>
      <c r="B20" s="2" t="s">
        <v>29</v>
      </c>
      <c r="C20" s="2">
        <v>0.25</v>
      </c>
      <c r="D20" s="2">
        <f t="shared" si="0"/>
        <v>0.03125</v>
      </c>
    </row>
    <row r="21" spans="1:4">
      <c r="A21" s="8">
        <v>43572</v>
      </c>
      <c r="B21" s="2" t="s">
        <v>29</v>
      </c>
      <c r="C21" s="2">
        <v>0.25</v>
      </c>
      <c r="D21" s="2">
        <f t="shared" si="0"/>
        <v>0.03125</v>
      </c>
    </row>
    <row r="22" spans="4:4">
      <c r="D22" s="2">
        <f t="shared" si="0"/>
        <v>0</v>
      </c>
    </row>
    <row r="23" spans="4:4">
      <c r="D23" s="2">
        <f t="shared" si="0"/>
        <v>0</v>
      </c>
    </row>
    <row r="24" spans="4:4">
      <c r="D24" s="2">
        <f t="shared" si="0"/>
        <v>0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ref="D68:D79" si="1">C68/8</f>
        <v>0</v>
      </c>
    </row>
    <row r="69" spans="4:4">
      <c r="D69" s="2">
        <f t="shared" si="1"/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79"/>
  <sheetViews>
    <sheetView workbookViewId="0">
      <selection activeCell="A22" sqref="$A22:$XFD22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69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4">
      <c r="A4" s="8">
        <v>43250</v>
      </c>
      <c r="B4" s="2" t="s">
        <v>27</v>
      </c>
      <c r="C4" s="2">
        <v>100</v>
      </c>
      <c r="D4" s="2">
        <f t="shared" ref="D4:D67" si="0">C4/8</f>
        <v>12.5</v>
      </c>
    </row>
    <row r="5" spans="1:9">
      <c r="A5" s="8">
        <v>43313</v>
      </c>
      <c r="B5" s="2" t="s">
        <v>25</v>
      </c>
      <c r="C5" s="2">
        <v>42</v>
      </c>
      <c r="D5" s="2">
        <f t="shared" si="0"/>
        <v>5.25</v>
      </c>
      <c r="I5" s="2" t="s">
        <v>73</v>
      </c>
    </row>
    <row r="6" spans="1:4">
      <c r="A6" s="8">
        <v>43329</v>
      </c>
      <c r="B6" s="2" t="s">
        <v>25</v>
      </c>
      <c r="C6" s="2">
        <v>36</v>
      </c>
      <c r="D6" s="2">
        <f t="shared" si="0"/>
        <v>4.5</v>
      </c>
    </row>
    <row r="7" spans="1:4">
      <c r="A7" s="8">
        <v>43332</v>
      </c>
      <c r="B7" s="2" t="s">
        <v>26</v>
      </c>
      <c r="C7" s="2">
        <v>-15.2</v>
      </c>
      <c r="D7" s="2">
        <f t="shared" si="0"/>
        <v>-1.9</v>
      </c>
    </row>
    <row r="8" spans="1:4">
      <c r="A8" s="8">
        <v>43333</v>
      </c>
      <c r="B8" s="2" t="s">
        <v>25</v>
      </c>
      <c r="C8" s="2">
        <v>0.5</v>
      </c>
      <c r="D8" s="2">
        <f t="shared" si="0"/>
        <v>0.0625</v>
      </c>
    </row>
    <row r="9" spans="1:9">
      <c r="A9" s="8">
        <v>43363</v>
      </c>
      <c r="B9" s="2" t="s">
        <v>27</v>
      </c>
      <c r="C9" s="2">
        <v>1</v>
      </c>
      <c r="D9" s="2">
        <f t="shared" si="0"/>
        <v>0.125</v>
      </c>
      <c r="I9" s="2" t="s">
        <v>74</v>
      </c>
    </row>
    <row r="10" spans="1:9">
      <c r="A10" s="8">
        <v>43369</v>
      </c>
      <c r="B10" s="2" t="s">
        <v>27</v>
      </c>
      <c r="C10" s="2">
        <v>0.5</v>
      </c>
      <c r="D10" s="2">
        <f t="shared" si="0"/>
        <v>0.0625</v>
      </c>
      <c r="I10" s="2" t="s">
        <v>75</v>
      </c>
    </row>
    <row r="11" spans="1:4">
      <c r="A11" s="8">
        <v>43377</v>
      </c>
      <c r="B11" s="2" t="s">
        <v>27</v>
      </c>
      <c r="C11" s="2">
        <v>0.25</v>
      </c>
      <c r="D11" s="2">
        <f t="shared" si="0"/>
        <v>0.03125</v>
      </c>
    </row>
    <row r="12" spans="1:4">
      <c r="A12" s="8">
        <v>43411</v>
      </c>
      <c r="B12" s="2" t="s">
        <v>28</v>
      </c>
      <c r="C12" s="2">
        <v>0.5</v>
      </c>
      <c r="D12" s="2">
        <f t="shared" si="0"/>
        <v>0.0625</v>
      </c>
    </row>
    <row r="13" spans="1:4">
      <c r="A13" s="8">
        <v>43474</v>
      </c>
      <c r="B13" s="2" t="s">
        <v>28</v>
      </c>
      <c r="C13" s="2">
        <v>0.25</v>
      </c>
      <c r="D13" s="2">
        <f t="shared" si="0"/>
        <v>0.03125</v>
      </c>
    </row>
    <row r="14" spans="1:4">
      <c r="A14" s="8">
        <v>43497</v>
      </c>
      <c r="B14" s="2" t="s">
        <v>28</v>
      </c>
      <c r="C14" s="2">
        <v>0.25</v>
      </c>
      <c r="D14" s="2">
        <f t="shared" si="0"/>
        <v>0.03125</v>
      </c>
    </row>
    <row r="15" spans="1:4">
      <c r="A15" s="8">
        <v>43513</v>
      </c>
      <c r="B15" s="2" t="s">
        <v>27</v>
      </c>
      <c r="C15" s="2">
        <v>0.25</v>
      </c>
      <c r="D15" s="2">
        <f t="shared" si="0"/>
        <v>0.03125</v>
      </c>
    </row>
    <row r="16" spans="1:4">
      <c r="A16" s="8">
        <v>43536</v>
      </c>
      <c r="B16" s="2" t="s">
        <v>29</v>
      </c>
      <c r="C16" s="2">
        <v>0.25</v>
      </c>
      <c r="D16" s="2">
        <f t="shared" si="0"/>
        <v>0.03125</v>
      </c>
    </row>
    <row r="17" spans="1:4">
      <c r="A17" s="8">
        <v>43549</v>
      </c>
      <c r="B17" s="2" t="s">
        <v>29</v>
      </c>
      <c r="C17" s="2">
        <v>0.25</v>
      </c>
      <c r="D17" s="2">
        <f t="shared" ref="D17" si="1">C17/8</f>
        <v>0.03125</v>
      </c>
    </row>
    <row r="18" spans="1:4">
      <c r="A18" s="8">
        <v>43550</v>
      </c>
      <c r="B18" s="2" t="s">
        <v>29</v>
      </c>
      <c r="C18" s="2">
        <v>0.25</v>
      </c>
      <c r="D18" s="2">
        <f t="shared" ref="D18:D22" si="2">C18/8</f>
        <v>0.03125</v>
      </c>
    </row>
    <row r="19" spans="1:4">
      <c r="A19" s="8">
        <v>43564</v>
      </c>
      <c r="B19" s="2" t="s">
        <v>27</v>
      </c>
      <c r="C19" s="2">
        <v>0.25</v>
      </c>
      <c r="D19" s="2">
        <f t="shared" si="2"/>
        <v>0.03125</v>
      </c>
    </row>
    <row r="20" spans="1:4">
      <c r="A20" s="8">
        <v>43566</v>
      </c>
      <c r="B20" s="2" t="s">
        <v>27</v>
      </c>
      <c r="C20" s="2">
        <v>0.5</v>
      </c>
      <c r="D20" s="2">
        <f t="shared" si="2"/>
        <v>0.0625</v>
      </c>
    </row>
    <row r="21" spans="1:4">
      <c r="A21" s="8">
        <v>43570</v>
      </c>
      <c r="B21" s="2" t="s">
        <v>29</v>
      </c>
      <c r="C21" s="2">
        <v>0.25</v>
      </c>
      <c r="D21" s="2">
        <f t="shared" si="2"/>
        <v>0.03125</v>
      </c>
    </row>
    <row r="22" spans="1:4">
      <c r="A22" s="8">
        <v>43572</v>
      </c>
      <c r="B22" s="2" t="s">
        <v>29</v>
      </c>
      <c r="C22" s="2">
        <v>0.5</v>
      </c>
      <c r="D22" s="2">
        <f t="shared" si="2"/>
        <v>0.0625</v>
      </c>
    </row>
    <row r="23" spans="4:4">
      <c r="D23" s="2">
        <f t="shared" si="0"/>
        <v>0</v>
      </c>
    </row>
    <row r="24" spans="4:4">
      <c r="D24" s="2">
        <f t="shared" si="0"/>
        <v>0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ref="D68:D79" si="3">C68/8</f>
        <v>0</v>
      </c>
    </row>
    <row r="69" spans="4:4">
      <c r="D69" s="2">
        <f t="shared" si="3"/>
        <v>0</v>
      </c>
    </row>
    <row r="70" spans="4:4">
      <c r="D70" s="2">
        <f t="shared" si="3"/>
        <v>0</v>
      </c>
    </row>
    <row r="71" spans="4:4">
      <c r="D71" s="2">
        <f t="shared" si="3"/>
        <v>0</v>
      </c>
    </row>
    <row r="72" spans="4:4">
      <c r="D72" s="2">
        <f t="shared" si="3"/>
        <v>0</v>
      </c>
    </row>
    <row r="73" spans="4:4">
      <c r="D73" s="2">
        <f t="shared" si="3"/>
        <v>0</v>
      </c>
    </row>
    <row r="74" spans="4:4">
      <c r="D74" s="2">
        <f t="shared" si="3"/>
        <v>0</v>
      </c>
    </row>
    <row r="75" spans="4:4">
      <c r="D75" s="2">
        <f t="shared" si="3"/>
        <v>0</v>
      </c>
    </row>
    <row r="76" spans="4:4">
      <c r="D76" s="2">
        <f t="shared" si="3"/>
        <v>0</v>
      </c>
    </row>
    <row r="77" spans="4:4">
      <c r="D77" s="2">
        <f t="shared" si="3"/>
        <v>0</v>
      </c>
    </row>
    <row r="78" spans="4:4">
      <c r="D78" s="2">
        <f t="shared" si="3"/>
        <v>0</v>
      </c>
    </row>
    <row r="79" spans="4:4">
      <c r="D79" s="2">
        <f t="shared" si="3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79"/>
  <sheetViews>
    <sheetView workbookViewId="0">
      <selection activeCell="A22" sqref="$A22:$XFD22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70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4">
      <c r="A4" s="8">
        <v>43250</v>
      </c>
      <c r="B4" s="2" t="s">
        <v>27</v>
      </c>
      <c r="C4" s="2">
        <v>100</v>
      </c>
      <c r="D4" s="2">
        <f t="shared" ref="D4:D67" si="0">C4/8</f>
        <v>12.5</v>
      </c>
    </row>
    <row r="5" spans="1:9">
      <c r="A5" s="8">
        <v>43315</v>
      </c>
      <c r="B5" s="2" t="s">
        <v>27</v>
      </c>
      <c r="C5" s="2">
        <v>64</v>
      </c>
      <c r="D5" s="2">
        <f t="shared" si="0"/>
        <v>8</v>
      </c>
      <c r="I5" s="2" t="s">
        <v>76</v>
      </c>
    </row>
    <row r="6" spans="1:4">
      <c r="A6" s="8">
        <v>43322</v>
      </c>
      <c r="B6" s="2" t="s">
        <v>25</v>
      </c>
      <c r="C6" s="2">
        <v>6</v>
      </c>
      <c r="D6" s="2">
        <f t="shared" si="0"/>
        <v>0.75</v>
      </c>
    </row>
    <row r="7" spans="1:4">
      <c r="A7" s="8">
        <v>43329</v>
      </c>
      <c r="B7" s="2" t="s">
        <v>25</v>
      </c>
      <c r="C7" s="2">
        <v>8</v>
      </c>
      <c r="D7" s="2">
        <f t="shared" si="0"/>
        <v>1</v>
      </c>
    </row>
    <row r="8" spans="1:4">
      <c r="A8" s="8">
        <v>43332</v>
      </c>
      <c r="B8" s="2" t="s">
        <v>26</v>
      </c>
      <c r="C8" s="2">
        <v>-15.2</v>
      </c>
      <c r="D8" s="2">
        <f t="shared" si="0"/>
        <v>-1.9</v>
      </c>
    </row>
    <row r="9" spans="1:4">
      <c r="A9" s="8">
        <v>43364</v>
      </c>
      <c r="B9" s="2" t="s">
        <v>28</v>
      </c>
      <c r="C9" s="2">
        <v>1</v>
      </c>
      <c r="D9" s="2">
        <f t="shared" si="0"/>
        <v>0.125</v>
      </c>
    </row>
    <row r="10" spans="1:4">
      <c r="A10" s="8">
        <v>43369</v>
      </c>
      <c r="B10" s="2" t="s">
        <v>27</v>
      </c>
      <c r="C10" s="2">
        <v>0.5</v>
      </c>
      <c r="D10" s="2">
        <f t="shared" si="0"/>
        <v>0.0625</v>
      </c>
    </row>
    <row r="11" spans="1:4">
      <c r="A11" s="8">
        <v>43381</v>
      </c>
      <c r="B11" s="2" t="s">
        <v>28</v>
      </c>
      <c r="C11" s="2">
        <v>0.5</v>
      </c>
      <c r="D11" s="2">
        <f t="shared" si="0"/>
        <v>0.0625</v>
      </c>
    </row>
    <row r="12" spans="1:4">
      <c r="A12" s="8">
        <v>43412</v>
      </c>
      <c r="B12" s="2" t="s">
        <v>28</v>
      </c>
      <c r="C12" s="2">
        <v>0.5</v>
      </c>
      <c r="D12" s="2">
        <f t="shared" si="0"/>
        <v>0.0625</v>
      </c>
    </row>
    <row r="13" spans="1:4">
      <c r="A13" s="8">
        <v>43418</v>
      </c>
      <c r="B13" s="2" t="s">
        <v>28</v>
      </c>
      <c r="C13" s="2">
        <v>0.5</v>
      </c>
      <c r="D13" s="2">
        <f t="shared" si="0"/>
        <v>0.0625</v>
      </c>
    </row>
    <row r="14" spans="1:4">
      <c r="A14" s="8">
        <v>43513</v>
      </c>
      <c r="B14" s="2" t="s">
        <v>27</v>
      </c>
      <c r="C14" s="2">
        <v>0.25</v>
      </c>
      <c r="D14" s="2">
        <f t="shared" si="0"/>
        <v>0.03125</v>
      </c>
    </row>
    <row r="15" spans="1:4">
      <c r="A15" s="8">
        <v>43520</v>
      </c>
      <c r="B15" s="2" t="s">
        <v>29</v>
      </c>
      <c r="C15" s="2">
        <v>0.25</v>
      </c>
      <c r="D15" s="2">
        <f t="shared" si="0"/>
        <v>0.03125</v>
      </c>
    </row>
    <row r="16" spans="1:4">
      <c r="A16" s="8">
        <v>43536</v>
      </c>
      <c r="B16" s="2" t="s">
        <v>29</v>
      </c>
      <c r="C16" s="2">
        <v>0.25</v>
      </c>
      <c r="D16" s="2">
        <f t="shared" si="0"/>
        <v>0.03125</v>
      </c>
    </row>
    <row r="17" spans="1:4">
      <c r="A17" s="8">
        <v>43549</v>
      </c>
      <c r="B17" s="2" t="s">
        <v>29</v>
      </c>
      <c r="C17" s="2">
        <v>0.25</v>
      </c>
      <c r="D17" s="2">
        <f t="shared" si="0"/>
        <v>0.03125</v>
      </c>
    </row>
    <row r="18" spans="1:4">
      <c r="A18" s="8">
        <v>43550</v>
      </c>
      <c r="B18" s="2" t="s">
        <v>29</v>
      </c>
      <c r="C18" s="2">
        <v>0.25</v>
      </c>
      <c r="D18" s="2">
        <f t="shared" si="0"/>
        <v>0.03125</v>
      </c>
    </row>
    <row r="19" spans="1:4">
      <c r="A19" s="8">
        <v>43564</v>
      </c>
      <c r="B19" s="2" t="s">
        <v>27</v>
      </c>
      <c r="C19" s="2">
        <v>0.25</v>
      </c>
      <c r="D19" s="2">
        <f t="shared" si="0"/>
        <v>0.03125</v>
      </c>
    </row>
    <row r="20" spans="1:4">
      <c r="A20" s="8">
        <v>43566</v>
      </c>
      <c r="B20" s="2" t="s">
        <v>27</v>
      </c>
      <c r="C20" s="2">
        <v>0.25</v>
      </c>
      <c r="D20" s="2">
        <f t="shared" si="0"/>
        <v>0.03125</v>
      </c>
    </row>
    <row r="21" spans="1:4">
      <c r="A21" s="8">
        <v>43570</v>
      </c>
      <c r="B21" s="2" t="s">
        <v>29</v>
      </c>
      <c r="C21" s="2">
        <v>0.25</v>
      </c>
      <c r="D21" s="2">
        <f t="shared" si="0"/>
        <v>0.03125</v>
      </c>
    </row>
    <row r="22" spans="1:4">
      <c r="A22" s="8">
        <v>43572</v>
      </c>
      <c r="B22" s="2" t="s">
        <v>29</v>
      </c>
      <c r="C22" s="2">
        <v>0.25</v>
      </c>
      <c r="D22" s="2">
        <f t="shared" si="0"/>
        <v>0.03125</v>
      </c>
    </row>
    <row r="23" spans="4:4">
      <c r="D23" s="2">
        <f t="shared" si="0"/>
        <v>0</v>
      </c>
    </row>
    <row r="24" spans="4:4">
      <c r="D24" s="2">
        <f t="shared" si="0"/>
        <v>0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ref="D68:D79" si="1">C68/8</f>
        <v>0</v>
      </c>
    </row>
    <row r="69" spans="4:4">
      <c r="D69" s="2">
        <f t="shared" si="1"/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79"/>
  <sheetViews>
    <sheetView workbookViewId="0">
      <selection activeCell="A15" sqref="$A15:$XFD15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71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4">
      <c r="A4" s="8">
        <v>43250</v>
      </c>
      <c r="B4" s="2" t="s">
        <v>27</v>
      </c>
      <c r="C4" s="2">
        <v>100</v>
      </c>
      <c r="D4" s="2">
        <f t="shared" ref="D4:D67" si="0">C4/8</f>
        <v>12.5</v>
      </c>
    </row>
    <row r="5" spans="1:9">
      <c r="A5" s="8">
        <v>43315</v>
      </c>
      <c r="B5" s="2" t="s">
        <v>27</v>
      </c>
      <c r="C5" s="2">
        <v>72</v>
      </c>
      <c r="D5" s="2">
        <f t="shared" si="0"/>
        <v>9</v>
      </c>
      <c r="I5" s="2" t="s">
        <v>77</v>
      </c>
    </row>
    <row r="6" spans="1:4">
      <c r="A6" s="8">
        <v>43322</v>
      </c>
      <c r="B6" s="2" t="s">
        <v>25</v>
      </c>
      <c r="C6" s="2">
        <v>4</v>
      </c>
      <c r="D6" s="2">
        <f t="shared" si="0"/>
        <v>0.5</v>
      </c>
    </row>
    <row r="7" spans="1:4">
      <c r="A7" s="8">
        <v>43329</v>
      </c>
      <c r="B7" s="2" t="s">
        <v>25</v>
      </c>
      <c r="C7" s="2">
        <v>4</v>
      </c>
      <c r="D7" s="2">
        <f t="shared" si="0"/>
        <v>0.5</v>
      </c>
    </row>
    <row r="8" spans="1:4">
      <c r="A8" s="8">
        <v>43332</v>
      </c>
      <c r="B8" s="2" t="s">
        <v>26</v>
      </c>
      <c r="C8" s="2">
        <v>-15.2</v>
      </c>
      <c r="D8" s="2">
        <f t="shared" si="0"/>
        <v>-1.9</v>
      </c>
    </row>
    <row r="9" spans="1:4">
      <c r="A9" s="8">
        <v>43364</v>
      </c>
      <c r="B9" s="2" t="s">
        <v>28</v>
      </c>
      <c r="C9" s="2">
        <v>1</v>
      </c>
      <c r="D9" s="2">
        <f t="shared" si="0"/>
        <v>0.125</v>
      </c>
    </row>
    <row r="10" spans="1:4">
      <c r="A10" s="8">
        <v>43369</v>
      </c>
      <c r="B10" s="2" t="s">
        <v>27</v>
      </c>
      <c r="C10" s="2">
        <v>2</v>
      </c>
      <c r="D10" s="2">
        <f t="shared" si="0"/>
        <v>0.25</v>
      </c>
    </row>
    <row r="11" spans="1:4">
      <c r="A11" s="8">
        <v>43382</v>
      </c>
      <c r="B11" s="2" t="s">
        <v>28</v>
      </c>
      <c r="C11" s="2">
        <v>0.5</v>
      </c>
      <c r="D11" s="2">
        <f t="shared" si="0"/>
        <v>0.0625</v>
      </c>
    </row>
    <row r="12" spans="1:4">
      <c r="A12" s="8">
        <v>43418</v>
      </c>
      <c r="B12" s="2" t="s">
        <v>28</v>
      </c>
      <c r="C12" s="2">
        <v>0.5</v>
      </c>
      <c r="D12" s="2">
        <f t="shared" si="0"/>
        <v>0.0625</v>
      </c>
    </row>
    <row r="13" spans="1:4">
      <c r="A13" s="8">
        <v>43413</v>
      </c>
      <c r="B13" s="2" t="s">
        <v>28</v>
      </c>
      <c r="C13" s="2">
        <v>0.25</v>
      </c>
      <c r="D13" s="2">
        <f t="shared" si="0"/>
        <v>0.03125</v>
      </c>
    </row>
    <row r="14" spans="1:4">
      <c r="A14" s="8">
        <v>43564</v>
      </c>
      <c r="B14" s="2" t="s">
        <v>27</v>
      </c>
      <c r="C14" s="2">
        <v>0.25</v>
      </c>
      <c r="D14" s="2">
        <f t="shared" si="0"/>
        <v>0.03125</v>
      </c>
    </row>
    <row r="15" spans="1:4">
      <c r="A15" s="8">
        <v>43566</v>
      </c>
      <c r="B15" s="2" t="s">
        <v>27</v>
      </c>
      <c r="C15" s="2">
        <v>0.25</v>
      </c>
      <c r="D15" s="2">
        <f t="shared" si="0"/>
        <v>0.03125</v>
      </c>
    </row>
    <row r="16" spans="1:4">
      <c r="A16" s="8"/>
      <c r="D16" s="2">
        <f t="shared" si="0"/>
        <v>0</v>
      </c>
    </row>
    <row r="17" spans="1:4">
      <c r="A17" s="8"/>
      <c r="D17" s="2">
        <f t="shared" si="0"/>
        <v>0</v>
      </c>
    </row>
    <row r="18" spans="4:4">
      <c r="D18" s="2">
        <f t="shared" si="0"/>
        <v>0</v>
      </c>
    </row>
    <row r="19" spans="4:4">
      <c r="D19" s="2">
        <f t="shared" si="0"/>
        <v>0</v>
      </c>
    </row>
    <row r="20" spans="4:4">
      <c r="D20" s="2">
        <f t="shared" si="0"/>
        <v>0</v>
      </c>
    </row>
    <row r="21" spans="4:4">
      <c r="D21" s="2">
        <f t="shared" si="0"/>
        <v>0</v>
      </c>
    </row>
    <row r="22" spans="4:4">
      <c r="D22" s="2">
        <f t="shared" si="0"/>
        <v>0</v>
      </c>
    </row>
    <row r="23" spans="4:4">
      <c r="D23" s="2">
        <f t="shared" si="0"/>
        <v>0</v>
      </c>
    </row>
    <row r="24" spans="4:4">
      <c r="D24" s="2">
        <f t="shared" si="0"/>
        <v>0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ref="D68:D79" si="1">C68/8</f>
        <v>0</v>
      </c>
    </row>
    <row r="69" spans="4:4">
      <c r="D69" s="2">
        <f t="shared" si="1"/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79"/>
  <sheetViews>
    <sheetView workbookViewId="0">
      <selection activeCell="A24" sqref="$A24:$XFD24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72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4">
      <c r="A4" s="8">
        <v>43250</v>
      </c>
      <c r="B4" s="2" t="s">
        <v>27</v>
      </c>
      <c r="C4" s="2">
        <v>100</v>
      </c>
      <c r="D4" s="2">
        <f t="shared" ref="D4:D67" si="0">C4/8</f>
        <v>12.5</v>
      </c>
    </row>
    <row r="5" spans="1:4">
      <c r="A5" s="8">
        <v>43312</v>
      </c>
      <c r="B5" s="2" t="s">
        <v>25</v>
      </c>
      <c r="C5" s="2">
        <v>48</v>
      </c>
      <c r="D5" s="2">
        <f t="shared" si="0"/>
        <v>6</v>
      </c>
    </row>
    <row r="6" spans="1:9">
      <c r="A6" s="8">
        <v>43321</v>
      </c>
      <c r="B6" s="2" t="s">
        <v>25</v>
      </c>
      <c r="C6" s="2">
        <v>12</v>
      </c>
      <c r="D6" s="2">
        <f t="shared" si="0"/>
        <v>1.5</v>
      </c>
      <c r="I6" s="2" t="s">
        <v>64</v>
      </c>
    </row>
    <row r="7" spans="1:4">
      <c r="A7" s="8">
        <v>43329</v>
      </c>
      <c r="B7" s="2" t="s">
        <v>25</v>
      </c>
      <c r="C7" s="2">
        <v>8</v>
      </c>
      <c r="D7" s="2">
        <f t="shared" si="0"/>
        <v>1</v>
      </c>
    </row>
    <row r="8" spans="1:4">
      <c r="A8" s="8">
        <v>43332</v>
      </c>
      <c r="B8" s="2" t="s">
        <v>26</v>
      </c>
      <c r="C8" s="2">
        <v>-15.2</v>
      </c>
      <c r="D8" s="2">
        <f t="shared" si="0"/>
        <v>-1.9</v>
      </c>
    </row>
    <row r="9" spans="1:4">
      <c r="A9" s="8">
        <v>43333</v>
      </c>
      <c r="B9" s="2" t="s">
        <v>25</v>
      </c>
      <c r="C9" s="2">
        <v>0.5</v>
      </c>
      <c r="D9" s="2">
        <f t="shared" si="0"/>
        <v>0.0625</v>
      </c>
    </row>
    <row r="10" spans="1:4">
      <c r="A10" s="8">
        <v>43363</v>
      </c>
      <c r="B10" s="2" t="s">
        <v>27</v>
      </c>
      <c r="C10" s="2">
        <v>0.5</v>
      </c>
      <c r="D10" s="2">
        <f t="shared" si="0"/>
        <v>0.0625</v>
      </c>
    </row>
    <row r="11" spans="1:4">
      <c r="A11" s="8">
        <v>43369</v>
      </c>
      <c r="B11" s="2" t="s">
        <v>27</v>
      </c>
      <c r="C11" s="2">
        <v>0.5</v>
      </c>
      <c r="D11" s="2">
        <f t="shared" si="0"/>
        <v>0.0625</v>
      </c>
    </row>
    <row r="12" spans="1:4">
      <c r="A12" s="8">
        <v>43377</v>
      </c>
      <c r="B12" s="2" t="s">
        <v>27</v>
      </c>
      <c r="C12" s="2">
        <v>0.25</v>
      </c>
      <c r="D12" s="2">
        <f t="shared" si="0"/>
        <v>0.03125</v>
      </c>
    </row>
    <row r="13" spans="1:4">
      <c r="A13" s="8">
        <v>43418</v>
      </c>
      <c r="B13" s="2" t="s">
        <v>28</v>
      </c>
      <c r="C13" s="2">
        <v>0.25</v>
      </c>
      <c r="D13" s="2">
        <f t="shared" si="0"/>
        <v>0.03125</v>
      </c>
    </row>
    <row r="14" spans="1:4">
      <c r="A14" s="8">
        <v>43475</v>
      </c>
      <c r="B14" s="2" t="s">
        <v>28</v>
      </c>
      <c r="C14" s="2">
        <v>0.25</v>
      </c>
      <c r="D14" s="2">
        <f t="shared" si="0"/>
        <v>0.03125</v>
      </c>
    </row>
    <row r="15" spans="1:4">
      <c r="A15" s="8">
        <v>43497</v>
      </c>
      <c r="B15" s="2" t="s">
        <v>28</v>
      </c>
      <c r="C15" s="2">
        <v>0.25</v>
      </c>
      <c r="D15" s="2">
        <f t="shared" si="0"/>
        <v>0.03125</v>
      </c>
    </row>
    <row r="16" spans="1:4">
      <c r="A16" s="8">
        <v>43513</v>
      </c>
      <c r="B16" s="2" t="s">
        <v>27</v>
      </c>
      <c r="C16" s="2">
        <v>0.25</v>
      </c>
      <c r="D16" s="2">
        <f t="shared" si="0"/>
        <v>0.03125</v>
      </c>
    </row>
    <row r="17" spans="1:4">
      <c r="A17" s="8">
        <v>43520</v>
      </c>
      <c r="B17" s="2" t="s">
        <v>29</v>
      </c>
      <c r="C17" s="2">
        <v>0.25</v>
      </c>
      <c r="D17" s="2">
        <f t="shared" si="0"/>
        <v>0.03125</v>
      </c>
    </row>
    <row r="18" spans="1:4">
      <c r="A18" s="8">
        <v>43536</v>
      </c>
      <c r="B18" s="2" t="s">
        <v>29</v>
      </c>
      <c r="C18" s="2">
        <v>0.25</v>
      </c>
      <c r="D18" s="2">
        <f t="shared" si="0"/>
        <v>0.03125</v>
      </c>
    </row>
    <row r="19" spans="1:4">
      <c r="A19" s="8">
        <v>43549</v>
      </c>
      <c r="B19" s="2" t="s">
        <v>29</v>
      </c>
      <c r="C19" s="2">
        <v>0.25</v>
      </c>
      <c r="D19" s="2">
        <f t="shared" si="0"/>
        <v>0.03125</v>
      </c>
    </row>
    <row r="20" spans="1:4">
      <c r="A20" s="8">
        <v>43550</v>
      </c>
      <c r="B20" s="2" t="s">
        <v>29</v>
      </c>
      <c r="C20" s="2">
        <v>0.25</v>
      </c>
      <c r="D20" s="2">
        <f t="shared" si="0"/>
        <v>0.03125</v>
      </c>
    </row>
    <row r="21" spans="1:4">
      <c r="A21" s="8">
        <v>43564</v>
      </c>
      <c r="B21" s="2" t="s">
        <v>27</v>
      </c>
      <c r="C21" s="2">
        <v>0.25</v>
      </c>
      <c r="D21" s="2">
        <f t="shared" si="0"/>
        <v>0.03125</v>
      </c>
    </row>
    <row r="22" spans="1:4">
      <c r="A22" s="8">
        <v>43566</v>
      </c>
      <c r="B22" s="2" t="s">
        <v>27</v>
      </c>
      <c r="C22" s="2">
        <v>0.25</v>
      </c>
      <c r="D22" s="2">
        <f t="shared" si="0"/>
        <v>0.03125</v>
      </c>
    </row>
    <row r="23" spans="1:4">
      <c r="A23" s="8">
        <v>43570</v>
      </c>
      <c r="B23" s="2" t="s">
        <v>29</v>
      </c>
      <c r="C23" s="2">
        <v>0.25</v>
      </c>
      <c r="D23" s="2">
        <f t="shared" si="0"/>
        <v>0.03125</v>
      </c>
    </row>
    <row r="24" spans="1:4">
      <c r="A24" s="8">
        <v>43572</v>
      </c>
      <c r="B24" s="2" t="s">
        <v>29</v>
      </c>
      <c r="C24" s="2">
        <v>0.25</v>
      </c>
      <c r="D24" s="2">
        <f t="shared" si="0"/>
        <v>0.03125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ref="D68:D79" si="1">C68/8</f>
        <v>0</v>
      </c>
    </row>
    <row r="69" spans="4:4">
      <c r="D69" s="2">
        <f t="shared" si="1"/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79"/>
  <sheetViews>
    <sheetView workbookViewId="0">
      <selection activeCell="A21" sqref="$A21:$XFD21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73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4">
      <c r="A4" s="8">
        <v>43250</v>
      </c>
      <c r="B4" s="2" t="s">
        <v>27</v>
      </c>
      <c r="C4" s="2">
        <v>100</v>
      </c>
      <c r="D4" s="2">
        <f t="shared" ref="D4:D67" si="0">C4/8</f>
        <v>12.5</v>
      </c>
    </row>
    <row r="5" spans="1:9">
      <c r="A5" s="8">
        <v>43313</v>
      </c>
      <c r="B5" s="2" t="s">
        <v>25</v>
      </c>
      <c r="C5" s="2">
        <v>56</v>
      </c>
      <c r="D5" s="2">
        <f t="shared" si="0"/>
        <v>7</v>
      </c>
      <c r="I5" s="2" t="s">
        <v>67</v>
      </c>
    </row>
    <row r="6" spans="1:9">
      <c r="A6" s="8">
        <v>43321</v>
      </c>
      <c r="B6" s="2" t="s">
        <v>25</v>
      </c>
      <c r="C6" s="2">
        <v>36</v>
      </c>
      <c r="D6" s="2">
        <f t="shared" si="0"/>
        <v>4.5</v>
      </c>
      <c r="I6" s="2" t="s">
        <v>67</v>
      </c>
    </row>
    <row r="7" spans="1:4">
      <c r="A7" s="8">
        <v>43332</v>
      </c>
      <c r="B7" s="2" t="s">
        <v>26</v>
      </c>
      <c r="C7" s="2">
        <v>-15.2</v>
      </c>
      <c r="D7" s="2">
        <f t="shared" si="0"/>
        <v>-1.9</v>
      </c>
    </row>
    <row r="8" spans="1:4">
      <c r="A8" s="8">
        <v>43363</v>
      </c>
      <c r="B8" s="2" t="s">
        <v>27</v>
      </c>
      <c r="C8" s="2">
        <v>-12</v>
      </c>
      <c r="D8" s="2">
        <f t="shared" si="0"/>
        <v>-1.5</v>
      </c>
    </row>
    <row r="9" spans="1:4">
      <c r="A9" s="8">
        <v>43369</v>
      </c>
      <c r="B9" s="2" t="s">
        <v>27</v>
      </c>
      <c r="C9" s="2">
        <v>0.25</v>
      </c>
      <c r="D9" s="2">
        <f t="shared" si="0"/>
        <v>0.03125</v>
      </c>
    </row>
    <row r="10" spans="1:4">
      <c r="A10" s="8">
        <v>43378</v>
      </c>
      <c r="B10" s="2" t="s">
        <v>28</v>
      </c>
      <c r="C10" s="2">
        <v>0.5</v>
      </c>
      <c r="D10" s="2">
        <f t="shared" si="0"/>
        <v>0.0625</v>
      </c>
    </row>
    <row r="11" spans="1:4">
      <c r="A11" s="8">
        <v>43412</v>
      </c>
      <c r="B11" s="2" t="s">
        <v>28</v>
      </c>
      <c r="C11" s="2">
        <v>0.25</v>
      </c>
      <c r="D11" s="2">
        <f t="shared" si="0"/>
        <v>0.03125</v>
      </c>
    </row>
    <row r="12" spans="1:4">
      <c r="A12" s="8">
        <v>43418</v>
      </c>
      <c r="B12" s="2" t="s">
        <v>28</v>
      </c>
      <c r="C12" s="2">
        <v>0.25</v>
      </c>
      <c r="D12" s="2">
        <f t="shared" si="0"/>
        <v>0.03125</v>
      </c>
    </row>
    <row r="13" spans="1:4">
      <c r="A13" s="8">
        <v>43513</v>
      </c>
      <c r="B13" s="2" t="s">
        <v>27</v>
      </c>
      <c r="C13" s="2">
        <v>0.5</v>
      </c>
      <c r="D13" s="2">
        <f t="shared" si="0"/>
        <v>0.0625</v>
      </c>
    </row>
    <row r="14" spans="1:4">
      <c r="A14" s="8">
        <v>43520</v>
      </c>
      <c r="B14" s="2" t="s">
        <v>29</v>
      </c>
      <c r="C14" s="2">
        <v>0.25</v>
      </c>
      <c r="D14" s="2">
        <f t="shared" si="0"/>
        <v>0.03125</v>
      </c>
    </row>
    <row r="15" spans="1:4">
      <c r="A15" s="8">
        <v>43536</v>
      </c>
      <c r="B15" s="2" t="s">
        <v>29</v>
      </c>
      <c r="C15" s="2">
        <v>0.25</v>
      </c>
      <c r="D15" s="2">
        <f t="shared" si="0"/>
        <v>0.03125</v>
      </c>
    </row>
    <row r="16" spans="1:4">
      <c r="A16" s="8">
        <v>43549</v>
      </c>
      <c r="B16" s="2" t="s">
        <v>29</v>
      </c>
      <c r="C16" s="2">
        <v>0.5</v>
      </c>
      <c r="D16" s="2">
        <f t="shared" si="0"/>
        <v>0.0625</v>
      </c>
    </row>
    <row r="17" spans="1:4">
      <c r="A17" s="8">
        <v>43550</v>
      </c>
      <c r="B17" s="2" t="s">
        <v>29</v>
      </c>
      <c r="C17" s="2">
        <v>0.5</v>
      </c>
      <c r="D17" s="2">
        <f t="shared" si="0"/>
        <v>0.0625</v>
      </c>
    </row>
    <row r="18" spans="1:4">
      <c r="A18" s="8">
        <v>43564</v>
      </c>
      <c r="B18" s="2" t="s">
        <v>27</v>
      </c>
      <c r="C18" s="2">
        <v>0.25</v>
      </c>
      <c r="D18" s="2">
        <f t="shared" si="0"/>
        <v>0.03125</v>
      </c>
    </row>
    <row r="19" spans="1:4">
      <c r="A19" s="8">
        <v>43566</v>
      </c>
      <c r="B19" s="2" t="s">
        <v>27</v>
      </c>
      <c r="C19" s="2">
        <v>0.5</v>
      </c>
      <c r="D19" s="2">
        <f t="shared" si="0"/>
        <v>0.0625</v>
      </c>
    </row>
    <row r="20" spans="1:4">
      <c r="A20" s="8">
        <v>43570</v>
      </c>
      <c r="B20" s="2" t="s">
        <v>29</v>
      </c>
      <c r="C20" s="2">
        <v>0.5</v>
      </c>
      <c r="D20" s="2">
        <f t="shared" si="0"/>
        <v>0.0625</v>
      </c>
    </row>
    <row r="21" spans="1:4">
      <c r="A21" s="8">
        <v>43572</v>
      </c>
      <c r="B21" s="2" t="s">
        <v>29</v>
      </c>
      <c r="C21" s="2">
        <v>0.5</v>
      </c>
      <c r="D21" s="2">
        <f t="shared" si="0"/>
        <v>0.0625</v>
      </c>
    </row>
    <row r="22" spans="4:4">
      <c r="D22" s="2">
        <f t="shared" si="0"/>
        <v>0</v>
      </c>
    </row>
    <row r="23" spans="4:4">
      <c r="D23" s="2">
        <f t="shared" si="0"/>
        <v>0</v>
      </c>
    </row>
    <row r="24" spans="4:4">
      <c r="D24" s="2">
        <f t="shared" si="0"/>
        <v>0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ref="D68:D79" si="1">C68/8</f>
        <v>0</v>
      </c>
    </row>
    <row r="69" spans="4:4">
      <c r="D69" s="2">
        <f t="shared" si="1"/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79"/>
  <sheetViews>
    <sheetView workbookViewId="0">
      <selection activeCell="A20" sqref="$A20:$XFD20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74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4">
      <c r="A4" s="8">
        <v>43250</v>
      </c>
      <c r="B4" s="2" t="s">
        <v>27</v>
      </c>
      <c r="C4" s="2">
        <v>100</v>
      </c>
      <c r="D4" s="2">
        <f t="shared" ref="D4:D67" si="0">C4/8</f>
        <v>12.5</v>
      </c>
    </row>
    <row r="5" spans="1:4">
      <c r="A5" s="8">
        <v>43322</v>
      </c>
      <c r="B5" s="2" t="s">
        <v>25</v>
      </c>
      <c r="C5" s="2">
        <v>-42</v>
      </c>
      <c r="D5" s="2">
        <f t="shared" si="0"/>
        <v>-5.25</v>
      </c>
    </row>
    <row r="6" spans="1:4">
      <c r="A6" s="8">
        <v>43329</v>
      </c>
      <c r="B6" s="2" t="s">
        <v>25</v>
      </c>
      <c r="C6" s="2">
        <v>1</v>
      </c>
      <c r="D6" s="2">
        <f t="shared" si="0"/>
        <v>0.125</v>
      </c>
    </row>
    <row r="7" spans="1:4">
      <c r="A7" s="8">
        <v>43332</v>
      </c>
      <c r="B7" s="2" t="s">
        <v>26</v>
      </c>
      <c r="C7" s="2">
        <v>-15.2</v>
      </c>
      <c r="D7" s="2">
        <f t="shared" si="0"/>
        <v>-1.9</v>
      </c>
    </row>
    <row r="8" spans="1:4">
      <c r="A8" s="8">
        <v>43364</v>
      </c>
      <c r="B8" s="2" t="s">
        <v>28</v>
      </c>
      <c r="C8" s="2">
        <v>1</v>
      </c>
      <c r="D8" s="2">
        <f t="shared" si="0"/>
        <v>0.125</v>
      </c>
    </row>
    <row r="9" spans="1:4">
      <c r="A9" s="8">
        <v>43369</v>
      </c>
      <c r="B9" s="2" t="s">
        <v>27</v>
      </c>
      <c r="C9" s="2">
        <v>0.5</v>
      </c>
      <c r="D9" s="2">
        <f t="shared" si="0"/>
        <v>0.0625</v>
      </c>
    </row>
    <row r="10" spans="1:4">
      <c r="A10" s="8">
        <v>43381</v>
      </c>
      <c r="B10" s="2" t="s">
        <v>28</v>
      </c>
      <c r="C10" s="2">
        <v>0.5</v>
      </c>
      <c r="D10" s="2">
        <f t="shared" si="0"/>
        <v>0.0625</v>
      </c>
    </row>
    <row r="11" spans="1:4">
      <c r="A11" s="8">
        <v>43382</v>
      </c>
      <c r="B11" s="2" t="s">
        <v>28</v>
      </c>
      <c r="C11" s="2">
        <v>0.5</v>
      </c>
      <c r="D11" s="2">
        <f t="shared" si="0"/>
        <v>0.0625</v>
      </c>
    </row>
    <row r="12" spans="1:4">
      <c r="A12" s="8">
        <v>43474</v>
      </c>
      <c r="B12" s="2" t="s">
        <v>28</v>
      </c>
      <c r="C12" s="2">
        <v>0.25</v>
      </c>
      <c r="D12" s="2">
        <f t="shared" si="0"/>
        <v>0.03125</v>
      </c>
    </row>
    <row r="13" spans="1:4">
      <c r="A13" s="8">
        <v>43513</v>
      </c>
      <c r="B13" s="2" t="s">
        <v>27</v>
      </c>
      <c r="C13" s="2">
        <v>0.5</v>
      </c>
      <c r="D13" s="2">
        <f t="shared" si="0"/>
        <v>0.0625</v>
      </c>
    </row>
    <row r="14" spans="1:4">
      <c r="A14" s="8">
        <v>43520</v>
      </c>
      <c r="B14" s="2" t="s">
        <v>29</v>
      </c>
      <c r="C14" s="2">
        <v>0.25</v>
      </c>
      <c r="D14" s="2">
        <f t="shared" si="0"/>
        <v>0.03125</v>
      </c>
    </row>
    <row r="15" spans="1:4">
      <c r="A15" s="8">
        <v>43536</v>
      </c>
      <c r="B15" s="2" t="s">
        <v>29</v>
      </c>
      <c r="C15" s="2">
        <v>0.25</v>
      </c>
      <c r="D15" s="2">
        <f t="shared" si="0"/>
        <v>0.03125</v>
      </c>
    </row>
    <row r="16" spans="1:4">
      <c r="A16" s="8">
        <v>43549</v>
      </c>
      <c r="B16" s="2" t="s">
        <v>29</v>
      </c>
      <c r="C16" s="2">
        <v>0.5</v>
      </c>
      <c r="D16" s="2">
        <f t="shared" si="0"/>
        <v>0.0625</v>
      </c>
    </row>
    <row r="17" spans="1:4">
      <c r="A17" s="8">
        <v>43550</v>
      </c>
      <c r="B17" s="2" t="s">
        <v>29</v>
      </c>
      <c r="C17" s="2">
        <v>0.5</v>
      </c>
      <c r="D17" s="2">
        <f t="shared" si="0"/>
        <v>0.0625</v>
      </c>
    </row>
    <row r="18" spans="1:4">
      <c r="A18" s="8">
        <v>43564</v>
      </c>
      <c r="B18" s="2" t="s">
        <v>27</v>
      </c>
      <c r="C18" s="2">
        <v>0.25</v>
      </c>
      <c r="D18" s="2">
        <f t="shared" si="0"/>
        <v>0.03125</v>
      </c>
    </row>
    <row r="19" spans="1:4">
      <c r="A19" s="8">
        <v>43566</v>
      </c>
      <c r="B19" s="2" t="s">
        <v>27</v>
      </c>
      <c r="C19" s="2">
        <v>0.5</v>
      </c>
      <c r="D19" s="2">
        <f t="shared" si="0"/>
        <v>0.0625</v>
      </c>
    </row>
    <row r="20" spans="1:4">
      <c r="A20" s="8">
        <v>43570</v>
      </c>
      <c r="B20" s="2" t="s">
        <v>29</v>
      </c>
      <c r="C20" s="2">
        <v>0.5</v>
      </c>
      <c r="D20" s="2">
        <f t="shared" si="0"/>
        <v>0.0625</v>
      </c>
    </row>
    <row r="21" spans="4:4">
      <c r="D21" s="2">
        <f t="shared" si="0"/>
        <v>0</v>
      </c>
    </row>
    <row r="22" spans="4:4">
      <c r="D22" s="2">
        <f t="shared" si="0"/>
        <v>0</v>
      </c>
    </row>
    <row r="23" spans="4:4">
      <c r="D23" s="2">
        <f t="shared" si="0"/>
        <v>0</v>
      </c>
    </row>
    <row r="24" spans="4:4">
      <c r="D24" s="2">
        <f t="shared" si="0"/>
        <v>0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ref="D68:D79" si="1">C68/8</f>
        <v>0</v>
      </c>
    </row>
    <row r="69" spans="4:4">
      <c r="D69" s="2">
        <f t="shared" si="1"/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79"/>
  <sheetViews>
    <sheetView workbookViewId="0">
      <selection activeCell="A24" sqref="$A24:$XFD24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75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4">
      <c r="A4" s="8">
        <v>43250</v>
      </c>
      <c r="B4" s="2" t="s">
        <v>27</v>
      </c>
      <c r="C4" s="2">
        <v>90</v>
      </c>
      <c r="D4" s="2">
        <f t="shared" ref="D4:D67" si="0">C4/8</f>
        <v>11.25</v>
      </c>
    </row>
    <row r="5" spans="1:4">
      <c r="A5" s="8">
        <v>43312</v>
      </c>
      <c r="B5" s="2" t="s">
        <v>25</v>
      </c>
      <c r="C5" s="2">
        <v>44</v>
      </c>
      <c r="D5" s="2">
        <f t="shared" si="0"/>
        <v>5.5</v>
      </c>
    </row>
    <row r="6" spans="1:4">
      <c r="A6" s="8">
        <v>43326</v>
      </c>
      <c r="B6" s="2" t="s">
        <v>25</v>
      </c>
      <c r="C6" s="2">
        <v>4</v>
      </c>
      <c r="D6" s="2">
        <f t="shared" si="0"/>
        <v>0.5</v>
      </c>
    </row>
    <row r="7" spans="1:4">
      <c r="A7" s="8">
        <v>43332</v>
      </c>
      <c r="B7" s="2" t="s">
        <v>26</v>
      </c>
      <c r="C7" s="2">
        <v>-15.2</v>
      </c>
      <c r="D7" s="2">
        <f t="shared" si="0"/>
        <v>-1.9</v>
      </c>
    </row>
    <row r="8" spans="1:4">
      <c r="A8" s="8">
        <v>43333</v>
      </c>
      <c r="B8" s="2" t="s">
        <v>25</v>
      </c>
      <c r="C8" s="2">
        <v>8</v>
      </c>
      <c r="D8" s="2">
        <f t="shared" si="0"/>
        <v>1</v>
      </c>
    </row>
    <row r="9" spans="1:4">
      <c r="A9" s="8">
        <v>43363</v>
      </c>
      <c r="B9" s="2" t="s">
        <v>27</v>
      </c>
      <c r="C9" s="2">
        <v>6</v>
      </c>
      <c r="D9" s="2">
        <f t="shared" si="0"/>
        <v>0.75</v>
      </c>
    </row>
    <row r="10" spans="1:4">
      <c r="A10" s="8">
        <v>43369</v>
      </c>
      <c r="B10" s="2" t="s">
        <v>27</v>
      </c>
      <c r="C10" s="2">
        <v>0.5</v>
      </c>
      <c r="D10" s="2">
        <f t="shared" si="0"/>
        <v>0.0625</v>
      </c>
    </row>
    <row r="11" spans="1:4">
      <c r="A11" s="8">
        <v>43376</v>
      </c>
      <c r="B11" s="2" t="s">
        <v>28</v>
      </c>
      <c r="C11" s="2">
        <v>0.5</v>
      </c>
      <c r="D11" s="2">
        <f t="shared" si="0"/>
        <v>0.0625</v>
      </c>
    </row>
    <row r="12" spans="1:4">
      <c r="A12" s="8">
        <v>43406</v>
      </c>
      <c r="B12" s="2" t="s">
        <v>28</v>
      </c>
      <c r="C12" s="2">
        <v>0.25</v>
      </c>
      <c r="D12" s="2">
        <f t="shared" si="0"/>
        <v>0.03125</v>
      </c>
    </row>
    <row r="13" spans="1:4">
      <c r="A13" s="8">
        <v>43418</v>
      </c>
      <c r="B13" s="2" t="s">
        <v>28</v>
      </c>
      <c r="C13" s="2">
        <v>0.25</v>
      </c>
      <c r="D13" s="2">
        <f t="shared" si="0"/>
        <v>0.03125</v>
      </c>
    </row>
    <row r="14" spans="1:4">
      <c r="A14" s="8">
        <v>43475</v>
      </c>
      <c r="B14" s="2" t="s">
        <v>28</v>
      </c>
      <c r="C14" s="2">
        <v>0.25</v>
      </c>
      <c r="D14" s="2">
        <f t="shared" si="0"/>
        <v>0.03125</v>
      </c>
    </row>
    <row r="15" spans="1:4">
      <c r="A15" s="8">
        <v>43496</v>
      </c>
      <c r="B15" s="2" t="s">
        <v>28</v>
      </c>
      <c r="C15" s="2">
        <v>0.25</v>
      </c>
      <c r="D15" s="2">
        <f t="shared" si="0"/>
        <v>0.03125</v>
      </c>
    </row>
    <row r="16" spans="1:4">
      <c r="A16" s="8">
        <v>43497</v>
      </c>
      <c r="B16" s="2" t="s">
        <v>28</v>
      </c>
      <c r="C16" s="2">
        <v>0.25</v>
      </c>
      <c r="D16" s="2">
        <f t="shared" si="0"/>
        <v>0.03125</v>
      </c>
    </row>
    <row r="17" spans="1:4">
      <c r="A17" s="8">
        <v>43520</v>
      </c>
      <c r="B17" s="2" t="s">
        <v>29</v>
      </c>
      <c r="C17" s="2">
        <v>0.25</v>
      </c>
      <c r="D17" s="2">
        <f t="shared" si="0"/>
        <v>0.03125</v>
      </c>
    </row>
    <row r="18" spans="1:4">
      <c r="A18" s="8">
        <v>43536</v>
      </c>
      <c r="B18" s="2" t="s">
        <v>29</v>
      </c>
      <c r="C18" s="2">
        <v>0.25</v>
      </c>
      <c r="D18" s="2">
        <f t="shared" si="0"/>
        <v>0.03125</v>
      </c>
    </row>
    <row r="19" spans="1:4">
      <c r="A19" s="8">
        <v>43549</v>
      </c>
      <c r="B19" s="2" t="s">
        <v>29</v>
      </c>
      <c r="C19" s="2">
        <v>0.25</v>
      </c>
      <c r="D19" s="2">
        <f t="shared" si="0"/>
        <v>0.03125</v>
      </c>
    </row>
    <row r="20" spans="1:4">
      <c r="A20" s="8">
        <v>43550</v>
      </c>
      <c r="B20" s="2" t="s">
        <v>29</v>
      </c>
      <c r="C20" s="2">
        <v>0.25</v>
      </c>
      <c r="D20" s="2">
        <f t="shared" si="0"/>
        <v>0.03125</v>
      </c>
    </row>
    <row r="21" spans="1:4">
      <c r="A21" s="8">
        <v>43564</v>
      </c>
      <c r="B21" s="2" t="s">
        <v>27</v>
      </c>
      <c r="C21" s="2">
        <v>0.25</v>
      </c>
      <c r="D21" s="2">
        <f t="shared" si="0"/>
        <v>0.03125</v>
      </c>
    </row>
    <row r="22" spans="1:4">
      <c r="A22" s="8">
        <v>43566</v>
      </c>
      <c r="B22" s="2" t="s">
        <v>27</v>
      </c>
      <c r="C22" s="2">
        <v>0.5</v>
      </c>
      <c r="D22" s="2">
        <f t="shared" si="0"/>
        <v>0.0625</v>
      </c>
    </row>
    <row r="23" spans="1:4">
      <c r="A23" s="8">
        <v>43570</v>
      </c>
      <c r="B23" s="2" t="s">
        <v>29</v>
      </c>
      <c r="C23" s="2">
        <v>0.25</v>
      </c>
      <c r="D23" s="2">
        <f t="shared" si="0"/>
        <v>0.03125</v>
      </c>
    </row>
    <row r="24" spans="1:4">
      <c r="A24" s="8">
        <v>43572</v>
      </c>
      <c r="B24" s="2" t="s">
        <v>29</v>
      </c>
      <c r="C24" s="2">
        <v>0.25</v>
      </c>
      <c r="D24" s="2">
        <f t="shared" si="0"/>
        <v>0.03125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ref="D68:D79" si="1">C68/8</f>
        <v>0</v>
      </c>
    </row>
    <row r="69" spans="4:4">
      <c r="D69" s="2">
        <f t="shared" si="1"/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7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79"/>
  <sheetViews>
    <sheetView workbookViewId="0">
      <selection activeCell="A20" sqref="$A20:$XFD20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76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9">
      <c r="A4" s="8">
        <v>43252</v>
      </c>
      <c r="B4" s="2" t="s">
        <v>27</v>
      </c>
      <c r="C4" s="2">
        <v>105</v>
      </c>
      <c r="D4" s="2">
        <f t="shared" ref="D4:D67" si="0">C4/8</f>
        <v>13.125</v>
      </c>
      <c r="I4" s="2" t="s">
        <v>35</v>
      </c>
    </row>
    <row r="5" spans="1:9">
      <c r="A5" s="8">
        <v>43313</v>
      </c>
      <c r="B5" s="2" t="s">
        <v>25</v>
      </c>
      <c r="C5" s="2">
        <v>44</v>
      </c>
      <c r="D5" s="2">
        <f t="shared" si="0"/>
        <v>5.5</v>
      </c>
      <c r="I5" s="2" t="s">
        <v>67</v>
      </c>
    </row>
    <row r="6" spans="1:9">
      <c r="A6" s="8">
        <v>43321</v>
      </c>
      <c r="B6" s="2" t="s">
        <v>25</v>
      </c>
      <c r="C6" s="2">
        <v>32</v>
      </c>
      <c r="D6" s="2">
        <f t="shared" si="0"/>
        <v>4</v>
      </c>
      <c r="I6" s="2" t="s">
        <v>67</v>
      </c>
    </row>
    <row r="7" spans="1:4">
      <c r="A7" s="8">
        <v>43332</v>
      </c>
      <c r="B7" s="2" t="s">
        <v>26</v>
      </c>
      <c r="C7" s="2">
        <v>-15.2</v>
      </c>
      <c r="D7" s="2">
        <f t="shared" si="0"/>
        <v>-1.9</v>
      </c>
    </row>
    <row r="8" spans="1:4">
      <c r="A8" s="8">
        <v>43333</v>
      </c>
      <c r="B8" s="2" t="s">
        <v>25</v>
      </c>
      <c r="C8" s="2">
        <v>-10</v>
      </c>
      <c r="D8" s="2">
        <f t="shared" si="0"/>
        <v>-1.25</v>
      </c>
    </row>
    <row r="9" spans="1:4">
      <c r="A9" s="8">
        <v>43377</v>
      </c>
      <c r="B9" s="2" t="s">
        <v>27</v>
      </c>
      <c r="C9" s="2">
        <v>0.25</v>
      </c>
      <c r="D9" s="2">
        <f t="shared" si="0"/>
        <v>0.03125</v>
      </c>
    </row>
    <row r="10" spans="1:4">
      <c r="A10" s="8">
        <v>43411</v>
      </c>
      <c r="B10" s="2" t="s">
        <v>28</v>
      </c>
      <c r="C10" s="2">
        <v>0.25</v>
      </c>
      <c r="D10" s="2">
        <f t="shared" si="0"/>
        <v>0.03125</v>
      </c>
    </row>
    <row r="11" spans="1:4">
      <c r="A11" s="8">
        <v>43418</v>
      </c>
      <c r="B11" s="2" t="s">
        <v>28</v>
      </c>
      <c r="C11" s="2">
        <v>0.5</v>
      </c>
      <c r="D11" s="2">
        <f t="shared" si="0"/>
        <v>0.0625</v>
      </c>
    </row>
    <row r="12" spans="1:4">
      <c r="A12" s="8">
        <v>43513</v>
      </c>
      <c r="B12" s="2" t="s">
        <v>27</v>
      </c>
      <c r="C12" s="2">
        <v>0.5</v>
      </c>
      <c r="D12" s="2">
        <f t="shared" si="0"/>
        <v>0.0625</v>
      </c>
    </row>
    <row r="13" spans="1:4">
      <c r="A13" s="8">
        <v>43520</v>
      </c>
      <c r="B13" s="2" t="s">
        <v>29</v>
      </c>
      <c r="C13" s="2">
        <v>0.25</v>
      </c>
      <c r="D13" s="2">
        <f t="shared" si="0"/>
        <v>0.03125</v>
      </c>
    </row>
    <row r="14" spans="1:4">
      <c r="A14" s="8">
        <v>43536</v>
      </c>
      <c r="B14" s="2" t="s">
        <v>29</v>
      </c>
      <c r="C14" s="2">
        <v>0.25</v>
      </c>
      <c r="D14" s="2">
        <f t="shared" si="0"/>
        <v>0.03125</v>
      </c>
    </row>
    <row r="15" spans="1:4">
      <c r="A15" s="8">
        <v>43549</v>
      </c>
      <c r="B15" s="2" t="s">
        <v>29</v>
      </c>
      <c r="C15" s="2">
        <v>0.5</v>
      </c>
      <c r="D15" s="2">
        <f t="shared" si="0"/>
        <v>0.0625</v>
      </c>
    </row>
    <row r="16" spans="1:4">
      <c r="A16" s="8">
        <v>43550</v>
      </c>
      <c r="B16" s="2" t="s">
        <v>29</v>
      </c>
      <c r="C16" s="2">
        <v>0.5</v>
      </c>
      <c r="D16" s="2">
        <f t="shared" si="0"/>
        <v>0.0625</v>
      </c>
    </row>
    <row r="17" spans="1:4">
      <c r="A17" s="8">
        <v>43564</v>
      </c>
      <c r="B17" s="2" t="s">
        <v>27</v>
      </c>
      <c r="C17" s="2">
        <v>0.25</v>
      </c>
      <c r="D17" s="2">
        <f t="shared" si="0"/>
        <v>0.03125</v>
      </c>
    </row>
    <row r="18" spans="1:4">
      <c r="A18" s="8">
        <v>43566</v>
      </c>
      <c r="B18" s="2" t="s">
        <v>27</v>
      </c>
      <c r="C18" s="2">
        <v>0.5</v>
      </c>
      <c r="D18" s="2">
        <f t="shared" si="0"/>
        <v>0.0625</v>
      </c>
    </row>
    <row r="19" spans="1:4">
      <c r="A19" s="8">
        <v>43570</v>
      </c>
      <c r="B19" s="2" t="s">
        <v>29</v>
      </c>
      <c r="C19" s="2">
        <v>0.5</v>
      </c>
      <c r="D19" s="2">
        <f t="shared" si="0"/>
        <v>0.0625</v>
      </c>
    </row>
    <row r="20" spans="1:4">
      <c r="A20" s="8">
        <v>43572</v>
      </c>
      <c r="B20" s="2" t="s">
        <v>29</v>
      </c>
      <c r="C20" s="2">
        <v>0.5</v>
      </c>
      <c r="D20" s="2">
        <f t="shared" si="0"/>
        <v>0.0625</v>
      </c>
    </row>
    <row r="21" spans="4:4">
      <c r="D21" s="2">
        <f t="shared" si="0"/>
        <v>0</v>
      </c>
    </row>
    <row r="22" spans="4:4">
      <c r="D22" s="2">
        <f t="shared" si="0"/>
        <v>0</v>
      </c>
    </row>
    <row r="23" spans="4:4">
      <c r="D23" s="2">
        <f t="shared" si="0"/>
        <v>0</v>
      </c>
    </row>
    <row r="24" spans="4:4">
      <c r="D24" s="2">
        <f t="shared" si="0"/>
        <v>0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ref="D68:D79" si="1">C68/8</f>
        <v>0</v>
      </c>
    </row>
    <row r="69" spans="4:4">
      <c r="D69" s="2">
        <f t="shared" si="1"/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7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80"/>
  <sheetViews>
    <sheetView workbookViewId="0">
      <selection activeCell="A21" sqref="$A21:$XFD21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77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9">
      <c r="A4" s="8">
        <v>43269</v>
      </c>
      <c r="B4" s="2" t="s">
        <v>27</v>
      </c>
      <c r="C4" s="2">
        <v>83</v>
      </c>
      <c r="D4" s="2">
        <f>C4/8</f>
        <v>10.375</v>
      </c>
      <c r="E4" s="2">
        <v>1.1</v>
      </c>
      <c r="F4" s="2" t="s">
        <v>39</v>
      </c>
      <c r="I4" s="2" t="s">
        <v>78</v>
      </c>
    </row>
    <row r="5" spans="1:4">
      <c r="A5" s="8">
        <v>43322</v>
      </c>
      <c r="B5" s="2" t="s">
        <v>25</v>
      </c>
      <c r="C5" s="2">
        <v>-20</v>
      </c>
      <c r="D5" s="2">
        <f t="shared" ref="D5:D68" si="0">C5/8</f>
        <v>-2.5</v>
      </c>
    </row>
    <row r="6" spans="1:4">
      <c r="A6" s="8">
        <v>43329</v>
      </c>
      <c r="B6" s="2" t="s">
        <v>25</v>
      </c>
      <c r="C6" s="2">
        <v>-1</v>
      </c>
      <c r="D6" s="2">
        <f t="shared" si="0"/>
        <v>-0.125</v>
      </c>
    </row>
    <row r="7" spans="1:4">
      <c r="A7" s="8">
        <v>43332</v>
      </c>
      <c r="B7" s="2" t="s">
        <v>26</v>
      </c>
      <c r="C7" s="2">
        <v>-15.2</v>
      </c>
      <c r="D7" s="2">
        <f t="shared" si="0"/>
        <v>-1.9</v>
      </c>
    </row>
    <row r="8" spans="1:4">
      <c r="A8" s="8">
        <v>43364</v>
      </c>
      <c r="B8" s="2" t="s">
        <v>28</v>
      </c>
      <c r="C8" s="2">
        <v>2</v>
      </c>
      <c r="D8" s="2">
        <f t="shared" si="0"/>
        <v>0.25</v>
      </c>
    </row>
    <row r="9" spans="1:4">
      <c r="A9" s="8">
        <v>43378</v>
      </c>
      <c r="B9" s="2" t="s">
        <v>28</v>
      </c>
      <c r="C9" s="2">
        <v>0.5</v>
      </c>
      <c r="D9" s="2">
        <f t="shared" si="0"/>
        <v>0.0625</v>
      </c>
    </row>
    <row r="10" spans="1:4">
      <c r="A10" s="8">
        <v>43412</v>
      </c>
      <c r="B10" s="2" t="s">
        <v>28</v>
      </c>
      <c r="C10" s="2">
        <v>0.25</v>
      </c>
      <c r="D10" s="2">
        <f t="shared" si="0"/>
        <v>0.03125</v>
      </c>
    </row>
    <row r="11" spans="1:4">
      <c r="A11" s="8">
        <v>43418</v>
      </c>
      <c r="B11" s="2" t="s">
        <v>28</v>
      </c>
      <c r="C11" s="2">
        <v>0.5</v>
      </c>
      <c r="D11" s="2">
        <f t="shared" si="0"/>
        <v>0.0625</v>
      </c>
    </row>
    <row r="12" spans="1:4">
      <c r="A12" s="8">
        <v>43474</v>
      </c>
      <c r="B12" s="2" t="s">
        <v>28</v>
      </c>
      <c r="C12" s="2">
        <v>0.25</v>
      </c>
      <c r="D12" s="2">
        <f t="shared" si="0"/>
        <v>0.03125</v>
      </c>
    </row>
    <row r="13" spans="1:4">
      <c r="A13" s="8">
        <v>43513</v>
      </c>
      <c r="B13" s="2" t="s">
        <v>27</v>
      </c>
      <c r="C13" s="2">
        <v>0.25</v>
      </c>
      <c r="D13" s="2">
        <f t="shared" si="0"/>
        <v>0.03125</v>
      </c>
    </row>
    <row r="14" spans="1:4">
      <c r="A14" s="8">
        <v>43520</v>
      </c>
      <c r="B14" s="2" t="s">
        <v>29</v>
      </c>
      <c r="C14" s="2">
        <v>0.25</v>
      </c>
      <c r="D14" s="2">
        <f t="shared" si="0"/>
        <v>0.03125</v>
      </c>
    </row>
    <row r="15" spans="1:4">
      <c r="A15" s="8">
        <v>43536</v>
      </c>
      <c r="B15" s="2" t="s">
        <v>29</v>
      </c>
      <c r="C15" s="2">
        <v>0.25</v>
      </c>
      <c r="D15" s="2">
        <f t="shared" si="0"/>
        <v>0.03125</v>
      </c>
    </row>
    <row r="16" spans="1:4">
      <c r="A16" s="8">
        <v>43549</v>
      </c>
      <c r="B16" s="2" t="s">
        <v>29</v>
      </c>
      <c r="C16" s="2">
        <v>0.25</v>
      </c>
      <c r="D16" s="2">
        <f t="shared" si="0"/>
        <v>0.03125</v>
      </c>
    </row>
    <row r="17" spans="1:4">
      <c r="A17" s="8">
        <v>43550</v>
      </c>
      <c r="B17" s="2" t="s">
        <v>29</v>
      </c>
      <c r="C17" s="2">
        <v>0.25</v>
      </c>
      <c r="D17" s="2">
        <f t="shared" si="0"/>
        <v>0.03125</v>
      </c>
    </row>
    <row r="18" spans="1:4">
      <c r="A18" s="8">
        <v>43564</v>
      </c>
      <c r="B18" s="2" t="s">
        <v>27</v>
      </c>
      <c r="C18" s="2">
        <v>0.25</v>
      </c>
      <c r="D18" s="2">
        <f t="shared" si="0"/>
        <v>0.03125</v>
      </c>
    </row>
    <row r="19" spans="1:4">
      <c r="A19" s="8">
        <v>43566</v>
      </c>
      <c r="B19" s="2" t="s">
        <v>27</v>
      </c>
      <c r="C19" s="2">
        <v>0.25</v>
      </c>
      <c r="D19" s="2">
        <f t="shared" si="0"/>
        <v>0.03125</v>
      </c>
    </row>
    <row r="20" spans="1:4">
      <c r="A20" s="8">
        <v>43570</v>
      </c>
      <c r="B20" s="2" t="s">
        <v>29</v>
      </c>
      <c r="C20" s="2">
        <v>0.25</v>
      </c>
      <c r="D20" s="2">
        <f t="shared" si="0"/>
        <v>0.03125</v>
      </c>
    </row>
    <row r="21" spans="1:4">
      <c r="A21" s="8">
        <v>43572</v>
      </c>
      <c r="B21" s="2" t="s">
        <v>29</v>
      </c>
      <c r="C21" s="2">
        <v>0.25</v>
      </c>
      <c r="D21" s="2">
        <f t="shared" si="0"/>
        <v>0.03125</v>
      </c>
    </row>
    <row r="22" spans="4:4">
      <c r="D22" s="2">
        <f t="shared" si="0"/>
        <v>0</v>
      </c>
    </row>
    <row r="23" spans="4:4">
      <c r="D23" s="2">
        <f t="shared" si="0"/>
        <v>0</v>
      </c>
    </row>
    <row r="24" spans="4:4">
      <c r="D24" s="2">
        <f t="shared" si="0"/>
        <v>0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si="0"/>
        <v>0</v>
      </c>
    </row>
    <row r="69" spans="4:4">
      <c r="D69" s="2">
        <f t="shared" ref="D69:D80" si="1">C69/8</f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  <row r="80" spans="4:4">
      <c r="D80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7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79"/>
  <sheetViews>
    <sheetView workbookViewId="0">
      <selection activeCell="A21" sqref="$A21:$XFD21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78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9">
      <c r="A4" s="8">
        <v>43252</v>
      </c>
      <c r="B4" s="2" t="s">
        <v>27</v>
      </c>
      <c r="C4" s="2">
        <v>77.5</v>
      </c>
      <c r="D4" s="2">
        <f t="shared" ref="D4:D67" si="0">C4/8</f>
        <v>9.6875</v>
      </c>
      <c r="I4" s="2" t="s">
        <v>60</v>
      </c>
    </row>
    <row r="5" spans="1:9">
      <c r="A5" s="8">
        <v>43315</v>
      </c>
      <c r="B5" s="2" t="s">
        <v>27</v>
      </c>
      <c r="C5" s="2">
        <v>-24</v>
      </c>
      <c r="D5" s="2">
        <f t="shared" si="0"/>
        <v>-3</v>
      </c>
      <c r="I5" s="2" t="s">
        <v>69</v>
      </c>
    </row>
    <row r="6" spans="1:4">
      <c r="A6" s="8">
        <v>43322</v>
      </c>
      <c r="B6" s="2" t="s">
        <v>25</v>
      </c>
      <c r="C6" s="2">
        <v>-4</v>
      </c>
      <c r="D6" s="2">
        <f t="shared" si="0"/>
        <v>-0.5</v>
      </c>
    </row>
    <row r="7" spans="1:4">
      <c r="A7" s="8">
        <v>43329</v>
      </c>
      <c r="B7" s="2" t="s">
        <v>25</v>
      </c>
      <c r="C7" s="2">
        <v>-1</v>
      </c>
      <c r="D7" s="2">
        <f t="shared" si="0"/>
        <v>-0.125</v>
      </c>
    </row>
    <row r="8" spans="1:4">
      <c r="A8" s="8">
        <v>43332</v>
      </c>
      <c r="B8" s="2" t="s">
        <v>26</v>
      </c>
      <c r="C8" s="2">
        <v>-15.2</v>
      </c>
      <c r="D8" s="2">
        <f t="shared" si="0"/>
        <v>-1.9</v>
      </c>
    </row>
    <row r="9" spans="1:4">
      <c r="A9" s="8">
        <v>43364</v>
      </c>
      <c r="B9" s="2" t="s">
        <v>28</v>
      </c>
      <c r="C9" s="2">
        <v>1</v>
      </c>
      <c r="D9" s="2">
        <f t="shared" si="0"/>
        <v>0.125</v>
      </c>
    </row>
    <row r="10" spans="1:4">
      <c r="A10" s="8">
        <v>43382</v>
      </c>
      <c r="B10" s="2" t="s">
        <v>28</v>
      </c>
      <c r="C10" s="2">
        <v>0.5</v>
      </c>
      <c r="D10" s="2">
        <f t="shared" si="0"/>
        <v>0.0625</v>
      </c>
    </row>
    <row r="11" spans="1:4">
      <c r="A11" s="8">
        <v>43418</v>
      </c>
      <c r="B11" s="2" t="s">
        <v>28</v>
      </c>
      <c r="C11" s="2">
        <v>0.5</v>
      </c>
      <c r="D11" s="2">
        <f t="shared" si="0"/>
        <v>0.0625</v>
      </c>
    </row>
    <row r="12" spans="1:4">
      <c r="A12" s="8">
        <v>43413</v>
      </c>
      <c r="B12" s="2" t="s">
        <v>28</v>
      </c>
      <c r="C12" s="2">
        <v>0.25</v>
      </c>
      <c r="D12" s="2">
        <f t="shared" si="0"/>
        <v>0.03125</v>
      </c>
    </row>
    <row r="13" spans="1:4">
      <c r="A13" s="8">
        <v>43520</v>
      </c>
      <c r="B13" s="2" t="s">
        <v>29</v>
      </c>
      <c r="C13" s="2">
        <v>0.25</v>
      </c>
      <c r="D13" s="2">
        <f t="shared" si="0"/>
        <v>0.03125</v>
      </c>
    </row>
    <row r="14" spans="1:4">
      <c r="A14" s="8">
        <v>43523</v>
      </c>
      <c r="B14" s="2" t="s">
        <v>29</v>
      </c>
      <c r="C14" s="2">
        <v>0.25</v>
      </c>
      <c r="D14" s="2">
        <f t="shared" si="0"/>
        <v>0.03125</v>
      </c>
    </row>
    <row r="15" spans="1:4">
      <c r="A15" s="8">
        <v>43536</v>
      </c>
      <c r="B15" s="2" t="s">
        <v>29</v>
      </c>
      <c r="C15" s="2">
        <v>0.25</v>
      </c>
      <c r="D15" s="2">
        <f t="shared" si="0"/>
        <v>0.03125</v>
      </c>
    </row>
    <row r="16" spans="1:4">
      <c r="A16" s="8">
        <v>43549</v>
      </c>
      <c r="B16" s="2" t="s">
        <v>29</v>
      </c>
      <c r="C16" s="2">
        <v>0.25</v>
      </c>
      <c r="D16" s="2">
        <f t="shared" si="0"/>
        <v>0.03125</v>
      </c>
    </row>
    <row r="17" spans="1:4">
      <c r="A17" s="8">
        <v>43550</v>
      </c>
      <c r="B17" s="2" t="s">
        <v>29</v>
      </c>
      <c r="C17" s="2">
        <v>0.25</v>
      </c>
      <c r="D17" s="2">
        <f t="shared" si="0"/>
        <v>0.03125</v>
      </c>
    </row>
    <row r="18" spans="1:4">
      <c r="A18" s="8">
        <v>43564</v>
      </c>
      <c r="B18" s="2" t="s">
        <v>27</v>
      </c>
      <c r="C18" s="2">
        <v>0.25</v>
      </c>
      <c r="D18" s="2">
        <f t="shared" si="0"/>
        <v>0.03125</v>
      </c>
    </row>
    <row r="19" spans="1:4">
      <c r="A19" s="8">
        <v>43566</v>
      </c>
      <c r="B19" s="2" t="s">
        <v>27</v>
      </c>
      <c r="C19" s="2">
        <v>0.5</v>
      </c>
      <c r="D19" s="2">
        <f t="shared" si="0"/>
        <v>0.0625</v>
      </c>
    </row>
    <row r="20" spans="1:4">
      <c r="A20" s="8">
        <v>43570</v>
      </c>
      <c r="B20" s="2" t="s">
        <v>29</v>
      </c>
      <c r="C20" s="2">
        <v>0.25</v>
      </c>
      <c r="D20" s="2">
        <f t="shared" si="0"/>
        <v>0.03125</v>
      </c>
    </row>
    <row r="21" spans="1:4">
      <c r="A21" s="8">
        <v>43572</v>
      </c>
      <c r="B21" s="2" t="s">
        <v>29</v>
      </c>
      <c r="C21" s="2">
        <v>0.25</v>
      </c>
      <c r="D21" s="2">
        <f t="shared" si="0"/>
        <v>0.03125</v>
      </c>
    </row>
    <row r="22" spans="4:4">
      <c r="D22" s="2">
        <f t="shared" si="0"/>
        <v>0</v>
      </c>
    </row>
    <row r="23" spans="4:4">
      <c r="D23" s="2">
        <f t="shared" si="0"/>
        <v>0</v>
      </c>
    </row>
    <row r="24" spans="4:4">
      <c r="D24" s="2">
        <f t="shared" si="0"/>
        <v>0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3:4">
      <c r="C29" s="2" t="s">
        <v>13</v>
      </c>
      <c r="D29" s="2" t="e">
        <f t="shared" si="0"/>
        <v>#VALUE!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ref="D68:D79" si="1">C68/8</f>
        <v>0</v>
      </c>
    </row>
    <row r="69" spans="4:4">
      <c r="D69" s="2">
        <f t="shared" si="1"/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79"/>
  <sheetViews>
    <sheetView workbookViewId="0">
      <selection activeCell="A24" sqref="$A24:$XFD24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79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4">
      <c r="A4" s="8">
        <v>43250</v>
      </c>
      <c r="B4" s="2" t="s">
        <v>27</v>
      </c>
      <c r="C4" s="2">
        <v>82</v>
      </c>
      <c r="D4" s="2">
        <f t="shared" ref="D4:D67" si="0">C4/8</f>
        <v>10.25</v>
      </c>
    </row>
    <row r="5" spans="1:9">
      <c r="A5" s="8">
        <v>43308</v>
      </c>
      <c r="B5" s="2" t="s">
        <v>25</v>
      </c>
      <c r="C5" s="2">
        <v>38</v>
      </c>
      <c r="D5" s="2">
        <f t="shared" si="0"/>
        <v>4.75</v>
      </c>
      <c r="I5" s="2" t="s">
        <v>79</v>
      </c>
    </row>
    <row r="6" spans="1:4">
      <c r="A6" s="8">
        <v>43320</v>
      </c>
      <c r="B6" s="2" t="s">
        <v>25</v>
      </c>
      <c r="C6" s="2">
        <v>8</v>
      </c>
      <c r="D6" s="2">
        <f t="shared" si="0"/>
        <v>1</v>
      </c>
    </row>
    <row r="7" spans="1:4">
      <c r="A7" s="8">
        <v>43326</v>
      </c>
      <c r="B7" s="2" t="s">
        <v>25</v>
      </c>
      <c r="C7" s="2">
        <v>4</v>
      </c>
      <c r="D7" s="2">
        <f t="shared" si="0"/>
        <v>0.5</v>
      </c>
    </row>
    <row r="8" spans="1:4">
      <c r="A8" s="8">
        <v>43332</v>
      </c>
      <c r="B8" s="2" t="s">
        <v>26</v>
      </c>
      <c r="C8" s="2">
        <v>-15.2</v>
      </c>
      <c r="D8" s="2">
        <f t="shared" si="0"/>
        <v>-1.9</v>
      </c>
    </row>
    <row r="9" spans="1:4">
      <c r="A9" s="8">
        <v>43333</v>
      </c>
      <c r="B9" s="2" t="s">
        <v>25</v>
      </c>
      <c r="C9" s="2">
        <v>2</v>
      </c>
      <c r="D9" s="2">
        <f t="shared" si="0"/>
        <v>0.25</v>
      </c>
    </row>
    <row r="10" spans="1:4">
      <c r="A10" s="8">
        <v>43363</v>
      </c>
      <c r="B10" s="2" t="s">
        <v>27</v>
      </c>
      <c r="C10" s="2">
        <v>2</v>
      </c>
      <c r="D10" s="2">
        <f t="shared" si="0"/>
        <v>0.25</v>
      </c>
    </row>
    <row r="11" spans="1:4">
      <c r="A11" s="8">
        <v>43376</v>
      </c>
      <c r="B11" s="2" t="s">
        <v>28</v>
      </c>
      <c r="C11" s="2">
        <v>0.5</v>
      </c>
      <c r="D11" s="2">
        <f t="shared" si="0"/>
        <v>0.0625</v>
      </c>
    </row>
    <row r="12" spans="1:4">
      <c r="A12" s="8">
        <v>43405</v>
      </c>
      <c r="B12" s="2" t="s">
        <v>28</v>
      </c>
      <c r="C12" s="2">
        <v>0.5</v>
      </c>
      <c r="D12" s="2">
        <f t="shared" si="0"/>
        <v>0.0625</v>
      </c>
    </row>
    <row r="13" spans="1:4">
      <c r="A13" s="8">
        <v>43418</v>
      </c>
      <c r="B13" s="2" t="s">
        <v>28</v>
      </c>
      <c r="C13" s="2">
        <v>0.25</v>
      </c>
      <c r="D13" s="2">
        <f t="shared" si="0"/>
        <v>0.03125</v>
      </c>
    </row>
    <row r="14" spans="1:4">
      <c r="A14" s="8">
        <v>43475</v>
      </c>
      <c r="B14" s="2" t="s">
        <v>28</v>
      </c>
      <c r="C14" s="2">
        <v>0.25</v>
      </c>
      <c r="D14" s="2">
        <f t="shared" si="0"/>
        <v>0.03125</v>
      </c>
    </row>
    <row r="15" spans="1:4">
      <c r="A15" s="8">
        <v>43495</v>
      </c>
      <c r="B15" s="2" t="s">
        <v>28</v>
      </c>
      <c r="C15" s="2">
        <v>0.25</v>
      </c>
      <c r="D15" s="2">
        <f t="shared" si="0"/>
        <v>0.03125</v>
      </c>
    </row>
    <row r="16" spans="1:9">
      <c r="A16" s="8">
        <v>43513</v>
      </c>
      <c r="B16" s="2" t="s">
        <v>27</v>
      </c>
      <c r="C16" s="2">
        <v>0.25</v>
      </c>
      <c r="D16" s="2">
        <f t="shared" si="0"/>
        <v>0.03125</v>
      </c>
      <c r="I16" s="2" t="s">
        <v>13</v>
      </c>
    </row>
    <row r="17" spans="1:4">
      <c r="A17" s="8">
        <v>43520</v>
      </c>
      <c r="B17" s="2" t="s">
        <v>29</v>
      </c>
      <c r="C17" s="2">
        <v>0.25</v>
      </c>
      <c r="D17" s="2">
        <f t="shared" si="0"/>
        <v>0.03125</v>
      </c>
    </row>
    <row r="18" spans="1:4">
      <c r="A18" s="8">
        <v>43536</v>
      </c>
      <c r="B18" s="2" t="s">
        <v>29</v>
      </c>
      <c r="C18" s="2">
        <v>0.25</v>
      </c>
      <c r="D18" s="2">
        <f t="shared" si="0"/>
        <v>0.03125</v>
      </c>
    </row>
    <row r="19" spans="1:4">
      <c r="A19" s="8">
        <v>43549</v>
      </c>
      <c r="B19" s="2" t="s">
        <v>29</v>
      </c>
      <c r="C19" s="2">
        <v>0.25</v>
      </c>
      <c r="D19" s="2">
        <f t="shared" si="0"/>
        <v>0.03125</v>
      </c>
    </row>
    <row r="20" spans="1:4">
      <c r="A20" s="8">
        <v>43550</v>
      </c>
      <c r="B20" s="2" t="s">
        <v>29</v>
      </c>
      <c r="C20" s="2">
        <v>0.25</v>
      </c>
      <c r="D20" s="2">
        <f t="shared" si="0"/>
        <v>0.03125</v>
      </c>
    </row>
    <row r="21" spans="1:4">
      <c r="A21" s="8">
        <v>43564</v>
      </c>
      <c r="B21" s="2" t="s">
        <v>27</v>
      </c>
      <c r="C21" s="2">
        <v>0.25</v>
      </c>
      <c r="D21" s="2">
        <f t="shared" si="0"/>
        <v>0.03125</v>
      </c>
    </row>
    <row r="22" spans="1:4">
      <c r="A22" s="8">
        <v>43566</v>
      </c>
      <c r="B22" s="2" t="s">
        <v>27</v>
      </c>
      <c r="C22" s="2">
        <v>0.5</v>
      </c>
      <c r="D22" s="2">
        <f t="shared" si="0"/>
        <v>0.0625</v>
      </c>
    </row>
    <row r="23" spans="1:4">
      <c r="A23" s="8">
        <v>43570</v>
      </c>
      <c r="B23" s="2" t="s">
        <v>29</v>
      </c>
      <c r="C23" s="2">
        <v>0.25</v>
      </c>
      <c r="D23" s="2">
        <f t="shared" si="0"/>
        <v>0.03125</v>
      </c>
    </row>
    <row r="24" spans="1:4">
      <c r="A24" s="8">
        <v>43572</v>
      </c>
      <c r="B24" s="2" t="s">
        <v>29</v>
      </c>
      <c r="C24" s="2">
        <v>0.25</v>
      </c>
      <c r="D24" s="2">
        <f t="shared" si="0"/>
        <v>0.03125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ref="D68:D79" si="1">C68/8</f>
        <v>0</v>
      </c>
    </row>
    <row r="69" spans="4:4">
      <c r="D69" s="2">
        <f t="shared" si="1"/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80"/>
  <sheetViews>
    <sheetView workbookViewId="0">
      <selection activeCell="A18" sqref="$A18:$XFD18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80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9">
      <c r="A4" s="8">
        <v>43269</v>
      </c>
      <c r="B4" s="2" t="s">
        <v>27</v>
      </c>
      <c r="C4" s="2">
        <v>91</v>
      </c>
      <c r="D4" s="2">
        <f>C4/8</f>
        <v>11.375</v>
      </c>
      <c r="F4" s="2" t="s">
        <v>39</v>
      </c>
      <c r="I4" s="2" t="s">
        <v>80</v>
      </c>
    </row>
    <row r="5" spans="1:9">
      <c r="A5" s="8">
        <v>43312</v>
      </c>
      <c r="B5" s="2" t="s">
        <v>25</v>
      </c>
      <c r="C5" s="2">
        <v>-7</v>
      </c>
      <c r="D5" s="2">
        <f t="shared" ref="D5:D68" si="0">C5/8</f>
        <v>-0.875</v>
      </c>
      <c r="I5" s="2" t="s">
        <v>81</v>
      </c>
    </row>
    <row r="6" spans="1:9">
      <c r="A6" s="8">
        <v>43321</v>
      </c>
      <c r="B6" s="2" t="s">
        <v>25</v>
      </c>
      <c r="C6" s="2">
        <v>-28</v>
      </c>
      <c r="D6" s="2">
        <f t="shared" si="0"/>
        <v>-3.5</v>
      </c>
      <c r="I6" s="2" t="s">
        <v>64</v>
      </c>
    </row>
    <row r="7" spans="1:4">
      <c r="A7" s="8">
        <v>43329</v>
      </c>
      <c r="B7" s="2" t="s">
        <v>25</v>
      </c>
      <c r="C7" s="2">
        <v>0.5</v>
      </c>
      <c r="D7" s="2">
        <f t="shared" si="0"/>
        <v>0.0625</v>
      </c>
    </row>
    <row r="8" spans="1:4">
      <c r="A8" s="8">
        <v>43332</v>
      </c>
      <c r="B8" s="2" t="s">
        <v>26</v>
      </c>
      <c r="C8" s="2">
        <v>-15.2</v>
      </c>
      <c r="D8" s="2">
        <f t="shared" si="0"/>
        <v>-1.9</v>
      </c>
    </row>
    <row r="9" spans="1:4">
      <c r="A9" s="8">
        <v>43363</v>
      </c>
      <c r="B9" s="2" t="s">
        <v>27</v>
      </c>
      <c r="C9" s="2">
        <v>1</v>
      </c>
      <c r="D9" s="2">
        <f t="shared" si="0"/>
        <v>0.125</v>
      </c>
    </row>
    <row r="10" spans="1:4">
      <c r="A10" s="8">
        <v>43475</v>
      </c>
      <c r="B10" s="2" t="s">
        <v>28</v>
      </c>
      <c r="C10" s="2">
        <v>0.25</v>
      </c>
      <c r="D10" s="2">
        <f t="shared" si="0"/>
        <v>0.03125</v>
      </c>
    </row>
    <row r="11" spans="1:4">
      <c r="A11" s="8">
        <v>43513</v>
      </c>
      <c r="B11" s="2" t="s">
        <v>27</v>
      </c>
      <c r="C11" s="2">
        <v>0.25</v>
      </c>
      <c r="D11" s="2">
        <f t="shared" si="0"/>
        <v>0.03125</v>
      </c>
    </row>
    <row r="12" spans="1:4">
      <c r="A12" s="8">
        <v>43520</v>
      </c>
      <c r="B12" s="2" t="s">
        <v>29</v>
      </c>
      <c r="C12" s="2">
        <v>0.25</v>
      </c>
      <c r="D12" s="2">
        <f t="shared" si="0"/>
        <v>0.03125</v>
      </c>
    </row>
    <row r="13" spans="1:4">
      <c r="A13" s="8">
        <v>43536</v>
      </c>
      <c r="B13" s="2" t="s">
        <v>29</v>
      </c>
      <c r="C13" s="2">
        <v>0.25</v>
      </c>
      <c r="D13" s="2">
        <f t="shared" si="0"/>
        <v>0.03125</v>
      </c>
    </row>
    <row r="14" spans="1:4">
      <c r="A14" s="8">
        <v>43549</v>
      </c>
      <c r="B14" s="2" t="s">
        <v>29</v>
      </c>
      <c r="C14" s="2">
        <v>0.25</v>
      </c>
      <c r="D14" s="2">
        <f t="shared" si="0"/>
        <v>0.03125</v>
      </c>
    </row>
    <row r="15" spans="1:4">
      <c r="A15" s="8">
        <v>43550</v>
      </c>
      <c r="B15" s="2" t="s">
        <v>29</v>
      </c>
      <c r="C15" s="2">
        <v>0.25</v>
      </c>
      <c r="D15" s="2">
        <f t="shared" si="0"/>
        <v>0.03125</v>
      </c>
    </row>
    <row r="16" spans="1:4">
      <c r="A16" s="8">
        <v>43564</v>
      </c>
      <c r="B16" s="2" t="s">
        <v>27</v>
      </c>
      <c r="C16" s="2">
        <v>0.25</v>
      </c>
      <c r="D16" s="2">
        <f t="shared" si="0"/>
        <v>0.03125</v>
      </c>
    </row>
    <row r="17" spans="1:4">
      <c r="A17" s="8">
        <v>43570</v>
      </c>
      <c r="B17" s="2" t="s">
        <v>29</v>
      </c>
      <c r="C17" s="2">
        <v>0.25</v>
      </c>
      <c r="D17" s="2">
        <f t="shared" si="0"/>
        <v>0.03125</v>
      </c>
    </row>
    <row r="18" spans="1:4">
      <c r="A18" s="8">
        <v>43572</v>
      </c>
      <c r="B18" s="2" t="s">
        <v>29</v>
      </c>
      <c r="C18" s="2">
        <v>0.25</v>
      </c>
      <c r="D18" s="2">
        <f t="shared" si="0"/>
        <v>0.03125</v>
      </c>
    </row>
    <row r="19" spans="4:4">
      <c r="D19" s="2">
        <f t="shared" si="0"/>
        <v>0</v>
      </c>
    </row>
    <row r="20" spans="4:4">
      <c r="D20" s="2">
        <f t="shared" si="0"/>
        <v>0</v>
      </c>
    </row>
    <row r="21" spans="4:4">
      <c r="D21" s="2">
        <f t="shared" si="0"/>
        <v>0</v>
      </c>
    </row>
    <row r="22" spans="4:4">
      <c r="D22" s="2">
        <f t="shared" si="0"/>
        <v>0</v>
      </c>
    </row>
    <row r="23" spans="4:4">
      <c r="D23" s="2">
        <f t="shared" si="0"/>
        <v>0</v>
      </c>
    </row>
    <row r="24" spans="4:4">
      <c r="D24" s="2">
        <f t="shared" si="0"/>
        <v>0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si="0"/>
        <v>0</v>
      </c>
    </row>
    <row r="69" spans="4:4">
      <c r="D69" s="2">
        <f t="shared" ref="D69:D80" si="1">C69/8</f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  <row r="80" spans="4:4">
      <c r="D80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8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80"/>
  <sheetViews>
    <sheetView workbookViewId="0">
      <selection activeCell="A13" sqref="$A13:$XFD13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81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9">
      <c r="A4" s="8">
        <v>43269</v>
      </c>
      <c r="B4" s="2" t="s">
        <v>27</v>
      </c>
      <c r="C4" s="2">
        <v>50</v>
      </c>
      <c r="D4" s="2">
        <f>C4/8</f>
        <v>6.25</v>
      </c>
      <c r="E4" s="2">
        <v>1</v>
      </c>
      <c r="F4" s="2" t="s">
        <v>39</v>
      </c>
      <c r="I4" s="2" t="s">
        <v>82</v>
      </c>
    </row>
    <row r="5" spans="1:4">
      <c r="A5" s="8">
        <v>43332</v>
      </c>
      <c r="B5" s="2" t="s">
        <v>26</v>
      </c>
      <c r="C5" s="2">
        <v>-15.2</v>
      </c>
      <c r="D5" s="2">
        <f t="shared" ref="D5:D68" si="0">C5/8</f>
        <v>-1.9</v>
      </c>
    </row>
    <row r="6" spans="1:4">
      <c r="A6" s="8">
        <v>43513</v>
      </c>
      <c r="B6" s="2" t="s">
        <v>27</v>
      </c>
      <c r="C6" s="2">
        <v>0.25</v>
      </c>
      <c r="D6" s="2">
        <f t="shared" si="0"/>
        <v>0.03125</v>
      </c>
    </row>
    <row r="7" spans="1:4">
      <c r="A7" s="8">
        <v>43536</v>
      </c>
      <c r="B7" s="2" t="s">
        <v>29</v>
      </c>
      <c r="C7" s="2">
        <v>0.25</v>
      </c>
      <c r="D7" s="2">
        <f t="shared" si="0"/>
        <v>0.03125</v>
      </c>
    </row>
    <row r="8" spans="1:4">
      <c r="A8" s="8">
        <v>43549</v>
      </c>
      <c r="B8" s="2" t="s">
        <v>29</v>
      </c>
      <c r="C8" s="2">
        <v>0.25</v>
      </c>
      <c r="D8" s="2">
        <f t="shared" si="0"/>
        <v>0.03125</v>
      </c>
    </row>
    <row r="9" spans="1:4">
      <c r="A9" s="8">
        <v>43550</v>
      </c>
      <c r="B9" s="2" t="s">
        <v>29</v>
      </c>
      <c r="C9" s="2">
        <v>0.25</v>
      </c>
      <c r="D9" s="2">
        <f t="shared" si="0"/>
        <v>0.03125</v>
      </c>
    </row>
    <row r="10" spans="1:4">
      <c r="A10" s="8">
        <v>43564</v>
      </c>
      <c r="B10" s="2" t="s">
        <v>27</v>
      </c>
      <c r="C10" s="2">
        <v>0.25</v>
      </c>
      <c r="D10" s="2">
        <f t="shared" si="0"/>
        <v>0.03125</v>
      </c>
    </row>
    <row r="11" spans="1:4">
      <c r="A11" s="8">
        <v>43566</v>
      </c>
      <c r="B11" s="2" t="s">
        <v>27</v>
      </c>
      <c r="C11" s="2">
        <v>0.25</v>
      </c>
      <c r="D11" s="2">
        <f t="shared" si="0"/>
        <v>0.03125</v>
      </c>
    </row>
    <row r="12" spans="1:4">
      <c r="A12" s="8">
        <v>43570</v>
      </c>
      <c r="B12" s="2" t="s">
        <v>29</v>
      </c>
      <c r="C12" s="2">
        <v>0.25</v>
      </c>
      <c r="D12" s="2">
        <f t="shared" si="0"/>
        <v>0.03125</v>
      </c>
    </row>
    <row r="13" spans="1:4">
      <c r="A13" s="8">
        <v>43572</v>
      </c>
      <c r="B13" s="2" t="s">
        <v>29</v>
      </c>
      <c r="C13" s="2">
        <v>0.25</v>
      </c>
      <c r="D13" s="2">
        <f t="shared" si="0"/>
        <v>0.03125</v>
      </c>
    </row>
    <row r="14" spans="4:4">
      <c r="D14" s="2">
        <f t="shared" si="0"/>
        <v>0</v>
      </c>
    </row>
    <row r="15" spans="4:4">
      <c r="D15" s="2">
        <f t="shared" si="0"/>
        <v>0</v>
      </c>
    </row>
    <row r="16" spans="1:4">
      <c r="A16" s="8"/>
      <c r="D16" s="2">
        <f t="shared" si="0"/>
        <v>0</v>
      </c>
    </row>
    <row r="17" spans="1:4">
      <c r="A17" s="8"/>
      <c r="D17" s="2">
        <f t="shared" si="0"/>
        <v>0</v>
      </c>
    </row>
    <row r="18" spans="1:4">
      <c r="A18" s="8"/>
      <c r="D18" s="2">
        <f t="shared" si="0"/>
        <v>0</v>
      </c>
    </row>
    <row r="19" spans="4:4">
      <c r="D19" s="2">
        <f t="shared" si="0"/>
        <v>0</v>
      </c>
    </row>
    <row r="20" spans="4:4">
      <c r="D20" s="2">
        <f t="shared" si="0"/>
        <v>0</v>
      </c>
    </row>
    <row r="21" spans="4:4">
      <c r="D21" s="2">
        <f t="shared" si="0"/>
        <v>0</v>
      </c>
    </row>
    <row r="22" spans="4:4">
      <c r="D22" s="2">
        <f t="shared" si="0"/>
        <v>0</v>
      </c>
    </row>
    <row r="23" spans="4:4">
      <c r="D23" s="2">
        <f t="shared" si="0"/>
        <v>0</v>
      </c>
    </row>
    <row r="24" spans="4:4">
      <c r="D24" s="2">
        <f t="shared" si="0"/>
        <v>0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si="0"/>
        <v>0</v>
      </c>
    </row>
    <row r="69" spans="4:4">
      <c r="D69" s="2">
        <f t="shared" ref="D69:D80" si="1">C69/8</f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  <row r="80" spans="4:4">
      <c r="D80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8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80"/>
  <sheetViews>
    <sheetView workbookViewId="0">
      <selection activeCell="A23" sqref="$A23:$XFD23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82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9">
      <c r="A4" s="8">
        <v>43269</v>
      </c>
      <c r="B4" s="2" t="s">
        <v>27</v>
      </c>
      <c r="C4" s="2">
        <v>70</v>
      </c>
      <c r="D4" s="2">
        <f>C4/8</f>
        <v>8.75</v>
      </c>
      <c r="E4" s="2">
        <v>1.3</v>
      </c>
      <c r="F4" s="2" t="s">
        <v>36</v>
      </c>
      <c r="I4" s="2" t="s">
        <v>83</v>
      </c>
    </row>
    <row r="5" spans="1:9">
      <c r="A5" s="8">
        <v>43315</v>
      </c>
      <c r="B5" s="2" t="s">
        <v>27</v>
      </c>
      <c r="C5" s="2">
        <v>-4</v>
      </c>
      <c r="D5" s="2">
        <f t="shared" ref="D5:D68" si="0">C5/8</f>
        <v>-0.5</v>
      </c>
      <c r="I5" s="2" t="s">
        <v>69</v>
      </c>
    </row>
    <row r="6" spans="1:4">
      <c r="A6" s="8">
        <v>43322</v>
      </c>
      <c r="B6" s="2" t="s">
        <v>25</v>
      </c>
      <c r="C6" s="2">
        <v>-16</v>
      </c>
      <c r="D6" s="2">
        <f t="shared" si="0"/>
        <v>-2</v>
      </c>
    </row>
    <row r="7" spans="1:4">
      <c r="A7" s="8">
        <v>43329</v>
      </c>
      <c r="B7" s="2" t="s">
        <v>25</v>
      </c>
      <c r="C7" s="2">
        <v>0.25</v>
      </c>
      <c r="D7" s="2">
        <f t="shared" si="0"/>
        <v>0.03125</v>
      </c>
    </row>
    <row r="8" spans="1:4">
      <c r="A8" s="8">
        <v>43332</v>
      </c>
      <c r="B8" s="2" t="s">
        <v>26</v>
      </c>
      <c r="C8" s="2">
        <v>-15.2</v>
      </c>
      <c r="D8" s="2">
        <f t="shared" si="0"/>
        <v>-1.9</v>
      </c>
    </row>
    <row r="9" spans="1:4">
      <c r="A9" s="8">
        <v>43364</v>
      </c>
      <c r="B9" s="2" t="s">
        <v>28</v>
      </c>
      <c r="C9" s="2">
        <v>2</v>
      </c>
      <c r="D9" s="2">
        <f t="shared" si="0"/>
        <v>0.25</v>
      </c>
    </row>
    <row r="10" spans="1:4">
      <c r="A10" s="8">
        <v>43381</v>
      </c>
      <c r="B10" s="2" t="s">
        <v>28</v>
      </c>
      <c r="C10" s="2">
        <v>0.5</v>
      </c>
      <c r="D10" s="2">
        <f t="shared" si="0"/>
        <v>0.0625</v>
      </c>
    </row>
    <row r="11" spans="1:4">
      <c r="A11" s="8">
        <v>43382</v>
      </c>
      <c r="B11" s="2" t="s">
        <v>28</v>
      </c>
      <c r="C11" s="2">
        <v>0.5</v>
      </c>
      <c r="D11" s="2">
        <f t="shared" si="0"/>
        <v>0.0625</v>
      </c>
    </row>
    <row r="12" spans="1:4">
      <c r="A12" s="8">
        <v>43413</v>
      </c>
      <c r="B12" s="2" t="s">
        <v>28</v>
      </c>
      <c r="C12" s="2">
        <v>0.25</v>
      </c>
      <c r="D12" s="2">
        <f t="shared" si="0"/>
        <v>0.03125</v>
      </c>
    </row>
    <row r="13" spans="1:4">
      <c r="A13" s="8">
        <v>43474</v>
      </c>
      <c r="B13" s="2" t="s">
        <v>28</v>
      </c>
      <c r="C13" s="2">
        <v>0.5</v>
      </c>
      <c r="D13" s="2">
        <f t="shared" si="0"/>
        <v>0.0625</v>
      </c>
    </row>
    <row r="14" spans="1:4">
      <c r="A14" s="8">
        <v>43497</v>
      </c>
      <c r="B14" s="2" t="s">
        <v>28</v>
      </c>
      <c r="C14" s="2">
        <v>0.25</v>
      </c>
      <c r="D14" s="2">
        <f t="shared" si="0"/>
        <v>0.03125</v>
      </c>
    </row>
    <row r="15" spans="1:4">
      <c r="A15" s="8">
        <v>43513</v>
      </c>
      <c r="B15" s="2" t="s">
        <v>27</v>
      </c>
      <c r="C15" s="2">
        <v>0.5</v>
      </c>
      <c r="D15" s="2">
        <f t="shared" si="0"/>
        <v>0.0625</v>
      </c>
    </row>
    <row r="16" spans="1:4">
      <c r="A16" s="8">
        <v>43520</v>
      </c>
      <c r="B16" s="2" t="s">
        <v>29</v>
      </c>
      <c r="C16" s="2">
        <v>0.25</v>
      </c>
      <c r="D16" s="2">
        <f t="shared" si="0"/>
        <v>0.03125</v>
      </c>
    </row>
    <row r="17" spans="1:4">
      <c r="A17" s="8">
        <v>43536</v>
      </c>
      <c r="B17" s="2" t="s">
        <v>29</v>
      </c>
      <c r="C17" s="2">
        <v>0.25</v>
      </c>
      <c r="D17" s="2">
        <f t="shared" si="0"/>
        <v>0.03125</v>
      </c>
    </row>
    <row r="18" spans="1:4">
      <c r="A18" s="8">
        <v>43549</v>
      </c>
      <c r="B18" s="2" t="s">
        <v>29</v>
      </c>
      <c r="C18" s="2">
        <v>0.5</v>
      </c>
      <c r="D18" s="2">
        <f t="shared" si="0"/>
        <v>0.0625</v>
      </c>
    </row>
    <row r="19" spans="1:4">
      <c r="A19" s="8">
        <v>43550</v>
      </c>
      <c r="B19" s="2" t="s">
        <v>29</v>
      </c>
      <c r="C19" s="2">
        <v>0.5</v>
      </c>
      <c r="D19" s="2">
        <f t="shared" si="0"/>
        <v>0.0625</v>
      </c>
    </row>
    <row r="20" spans="1:4">
      <c r="A20" s="8">
        <v>43564</v>
      </c>
      <c r="B20" s="2" t="s">
        <v>27</v>
      </c>
      <c r="C20" s="2">
        <v>0.25</v>
      </c>
      <c r="D20" s="2">
        <f t="shared" si="0"/>
        <v>0.03125</v>
      </c>
    </row>
    <row r="21" spans="1:4">
      <c r="A21" s="8">
        <v>43566</v>
      </c>
      <c r="B21" s="2" t="s">
        <v>27</v>
      </c>
      <c r="C21" s="2">
        <v>0.5</v>
      </c>
      <c r="D21" s="2">
        <f t="shared" si="0"/>
        <v>0.0625</v>
      </c>
    </row>
    <row r="22" spans="1:4">
      <c r="A22" s="8">
        <v>43570</v>
      </c>
      <c r="B22" s="2" t="s">
        <v>29</v>
      </c>
      <c r="C22" s="2">
        <v>0.5</v>
      </c>
      <c r="D22" s="2">
        <f t="shared" si="0"/>
        <v>0.0625</v>
      </c>
    </row>
    <row r="23" spans="1:4">
      <c r="A23" s="8">
        <v>43572</v>
      </c>
      <c r="B23" s="2" t="s">
        <v>29</v>
      </c>
      <c r="C23" s="2">
        <v>0.5</v>
      </c>
      <c r="D23" s="2">
        <f t="shared" si="0"/>
        <v>0.0625</v>
      </c>
    </row>
    <row r="24" spans="4:4">
      <c r="D24" s="2">
        <f t="shared" si="0"/>
        <v>0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si="0"/>
        <v>0</v>
      </c>
    </row>
    <row r="69" spans="4:4">
      <c r="D69" s="2">
        <f t="shared" ref="D69:D80" si="1">C69/8</f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  <row r="80" spans="4:4">
      <c r="D80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8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80"/>
  <sheetViews>
    <sheetView workbookViewId="0">
      <selection activeCell="A11" sqref="A11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83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9">
      <c r="A4" s="8">
        <v>43255</v>
      </c>
      <c r="B4" s="2" t="s">
        <v>27</v>
      </c>
      <c r="C4" s="2">
        <v>88</v>
      </c>
      <c r="D4" s="2">
        <f>C4/8</f>
        <v>11</v>
      </c>
      <c r="I4" s="2" t="s">
        <v>84</v>
      </c>
    </row>
    <row r="5" spans="1:4">
      <c r="A5" s="8">
        <v>43312</v>
      </c>
      <c r="B5" s="2" t="s">
        <v>25</v>
      </c>
      <c r="C5" s="2">
        <v>20</v>
      </c>
      <c r="D5" s="2">
        <f t="shared" ref="D5:D68" si="0">C5/8</f>
        <v>2.5</v>
      </c>
    </row>
    <row r="6" spans="1:4">
      <c r="A6" s="8">
        <v>43326</v>
      </c>
      <c r="B6" s="2" t="s">
        <v>25</v>
      </c>
      <c r="C6" s="2">
        <v>12</v>
      </c>
      <c r="D6" s="2">
        <f t="shared" si="0"/>
        <v>1.5</v>
      </c>
    </row>
    <row r="7" spans="1:4">
      <c r="A7" s="8">
        <v>43332</v>
      </c>
      <c r="B7" s="2" t="s">
        <v>26</v>
      </c>
      <c r="C7" s="2">
        <v>-15.2</v>
      </c>
      <c r="D7" s="2">
        <f t="shared" si="0"/>
        <v>-1.9</v>
      </c>
    </row>
    <row r="8" spans="1:4">
      <c r="A8" s="8">
        <v>43418</v>
      </c>
      <c r="B8" s="2" t="s">
        <v>28</v>
      </c>
      <c r="C8" s="2">
        <v>0.25</v>
      </c>
      <c r="D8" s="2">
        <f t="shared" si="0"/>
        <v>0.03125</v>
      </c>
    </row>
    <row r="9" spans="1:4">
      <c r="A9" s="8">
        <v>43497</v>
      </c>
      <c r="B9" s="2" t="s">
        <v>28</v>
      </c>
      <c r="C9" s="2">
        <v>0.25</v>
      </c>
      <c r="D9" s="2">
        <f t="shared" si="0"/>
        <v>0.03125</v>
      </c>
    </row>
    <row r="10" spans="1:4">
      <c r="A10" s="8">
        <v>43513</v>
      </c>
      <c r="B10" s="2" t="s">
        <v>27</v>
      </c>
      <c r="C10" s="2">
        <v>0.25</v>
      </c>
      <c r="D10" s="2">
        <f t="shared" si="0"/>
        <v>0.03125</v>
      </c>
    </row>
    <row r="11" spans="4:4">
      <c r="D11" s="2">
        <f t="shared" si="0"/>
        <v>0</v>
      </c>
    </row>
    <row r="12" spans="4:4">
      <c r="D12" s="2">
        <f t="shared" si="0"/>
        <v>0</v>
      </c>
    </row>
    <row r="13" spans="4:4">
      <c r="D13" s="2">
        <f t="shared" si="0"/>
        <v>0</v>
      </c>
    </row>
    <row r="14" spans="4:4">
      <c r="D14" s="2">
        <f t="shared" si="0"/>
        <v>0</v>
      </c>
    </row>
    <row r="15" spans="4:4">
      <c r="D15" s="2">
        <f t="shared" si="0"/>
        <v>0</v>
      </c>
    </row>
    <row r="16" spans="1:4">
      <c r="A16" s="8"/>
      <c r="D16" s="2">
        <f t="shared" si="0"/>
        <v>0</v>
      </c>
    </row>
    <row r="17" spans="1:4">
      <c r="A17" s="8"/>
      <c r="D17" s="2">
        <f t="shared" si="0"/>
        <v>0</v>
      </c>
    </row>
    <row r="18" spans="1:4">
      <c r="A18" s="8"/>
      <c r="D18" s="2">
        <f t="shared" si="0"/>
        <v>0</v>
      </c>
    </row>
    <row r="19" spans="4:4">
      <c r="D19" s="2">
        <f t="shared" si="0"/>
        <v>0</v>
      </c>
    </row>
    <row r="20" spans="4:4">
      <c r="D20" s="2">
        <f t="shared" si="0"/>
        <v>0</v>
      </c>
    </row>
    <row r="21" spans="4:4">
      <c r="D21" s="2">
        <f t="shared" si="0"/>
        <v>0</v>
      </c>
    </row>
    <row r="22" spans="4:4">
      <c r="D22" s="2">
        <f t="shared" si="0"/>
        <v>0</v>
      </c>
    </row>
    <row r="23" spans="4:4">
      <c r="D23" s="2">
        <f t="shared" si="0"/>
        <v>0</v>
      </c>
    </row>
    <row r="24" spans="4:4">
      <c r="D24" s="2">
        <f t="shared" si="0"/>
        <v>0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si="0"/>
        <v>0</v>
      </c>
    </row>
    <row r="69" spans="4:4">
      <c r="D69" s="2">
        <f t="shared" ref="D69:D80" si="1">C69/8</f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  <row r="80" spans="4:4">
      <c r="D80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8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80"/>
  <sheetViews>
    <sheetView workbookViewId="0">
      <selection activeCell="A22" sqref="$A22:$XFD22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84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9">
      <c r="A4" s="8">
        <v>43269</v>
      </c>
      <c r="B4" s="2" t="s">
        <v>27</v>
      </c>
      <c r="C4" s="2">
        <v>82</v>
      </c>
      <c r="D4" s="2">
        <f>C4/8</f>
        <v>10.25</v>
      </c>
      <c r="E4" s="2">
        <v>1.1</v>
      </c>
      <c r="F4" s="2" t="s">
        <v>39</v>
      </c>
      <c r="I4" s="2" t="s">
        <v>40</v>
      </c>
    </row>
    <row r="5" spans="1:9">
      <c r="A5" s="8">
        <v>43313</v>
      </c>
      <c r="B5" s="2" t="s">
        <v>25</v>
      </c>
      <c r="C5" s="2">
        <v>-16</v>
      </c>
      <c r="D5" s="2">
        <f t="shared" ref="D5:D68" si="0">C5/8</f>
        <v>-2</v>
      </c>
      <c r="I5" s="2" t="s">
        <v>32</v>
      </c>
    </row>
    <row r="6" spans="1:4">
      <c r="A6" s="8">
        <v>43329</v>
      </c>
      <c r="B6" s="2" t="s">
        <v>25</v>
      </c>
      <c r="C6" s="2">
        <v>-12</v>
      </c>
      <c r="D6" s="2">
        <f t="shared" si="0"/>
        <v>-1.5</v>
      </c>
    </row>
    <row r="7" spans="1:4">
      <c r="A7" s="8">
        <v>43332</v>
      </c>
      <c r="B7" s="2" t="s">
        <v>26</v>
      </c>
      <c r="C7" s="2">
        <v>-15.2</v>
      </c>
      <c r="D7" s="2">
        <f t="shared" si="0"/>
        <v>-1.9</v>
      </c>
    </row>
    <row r="8" spans="1:4">
      <c r="A8" s="8">
        <v>43363</v>
      </c>
      <c r="B8" s="2" t="s">
        <v>27</v>
      </c>
      <c r="C8" s="2">
        <v>2</v>
      </c>
      <c r="D8" s="2">
        <f t="shared" si="0"/>
        <v>0.25</v>
      </c>
    </row>
    <row r="9" spans="1:4">
      <c r="A9" s="8">
        <v>43369</v>
      </c>
      <c r="B9" s="2" t="s">
        <v>27</v>
      </c>
      <c r="C9" s="2">
        <v>0.5</v>
      </c>
      <c r="D9" s="2">
        <f t="shared" si="0"/>
        <v>0.0625</v>
      </c>
    </row>
    <row r="10" spans="1:4">
      <c r="A10" s="8">
        <v>43411</v>
      </c>
      <c r="B10" s="2" t="s">
        <v>28</v>
      </c>
      <c r="C10" s="2">
        <v>0.25</v>
      </c>
      <c r="D10" s="2">
        <f t="shared" si="0"/>
        <v>0.03125</v>
      </c>
    </row>
    <row r="11" spans="1:4">
      <c r="A11" s="8">
        <v>43474</v>
      </c>
      <c r="B11" s="2" t="s">
        <v>28</v>
      </c>
      <c r="C11" s="2">
        <v>0.25</v>
      </c>
      <c r="D11" s="2">
        <f t="shared" si="0"/>
        <v>0.03125</v>
      </c>
    </row>
    <row r="12" spans="1:4">
      <c r="A12" s="8">
        <v>43497</v>
      </c>
      <c r="B12" s="2" t="s">
        <v>28</v>
      </c>
      <c r="C12" s="2">
        <v>0.25</v>
      </c>
      <c r="D12" s="2">
        <f t="shared" si="0"/>
        <v>0.03125</v>
      </c>
    </row>
    <row r="13" spans="1:4">
      <c r="A13" s="8">
        <v>43498</v>
      </c>
      <c r="B13" s="2" t="s">
        <v>28</v>
      </c>
      <c r="C13" s="2">
        <v>0.25</v>
      </c>
      <c r="D13" s="2">
        <f t="shared" si="0"/>
        <v>0.03125</v>
      </c>
    </row>
    <row r="14" spans="1:4">
      <c r="A14" s="8">
        <v>43513</v>
      </c>
      <c r="B14" s="2" t="s">
        <v>27</v>
      </c>
      <c r="C14" s="2">
        <v>0.25</v>
      </c>
      <c r="D14" s="2">
        <f t="shared" si="0"/>
        <v>0.03125</v>
      </c>
    </row>
    <row r="15" spans="1:4">
      <c r="A15" s="8">
        <v>43520</v>
      </c>
      <c r="B15" s="2" t="s">
        <v>29</v>
      </c>
      <c r="C15" s="2">
        <v>0.25</v>
      </c>
      <c r="D15" s="2">
        <f t="shared" si="0"/>
        <v>0.03125</v>
      </c>
    </row>
    <row r="16" spans="1:4">
      <c r="A16" s="8">
        <v>43536</v>
      </c>
      <c r="B16" s="2" t="s">
        <v>29</v>
      </c>
      <c r="C16" s="2">
        <v>0.25</v>
      </c>
      <c r="D16" s="2">
        <f t="shared" si="0"/>
        <v>0.03125</v>
      </c>
    </row>
    <row r="17" spans="1:4">
      <c r="A17" s="8">
        <v>43549</v>
      </c>
      <c r="B17" s="2" t="s">
        <v>29</v>
      </c>
      <c r="C17" s="2">
        <v>0.25</v>
      </c>
      <c r="D17" s="2">
        <f t="shared" si="0"/>
        <v>0.03125</v>
      </c>
    </row>
    <row r="18" spans="1:4">
      <c r="A18" s="8">
        <v>43550</v>
      </c>
      <c r="B18" s="2" t="s">
        <v>29</v>
      </c>
      <c r="C18" s="2">
        <v>0.25</v>
      </c>
      <c r="D18" s="2">
        <f t="shared" si="0"/>
        <v>0.03125</v>
      </c>
    </row>
    <row r="19" spans="1:4">
      <c r="A19" s="8">
        <v>43564</v>
      </c>
      <c r="B19" s="2" t="s">
        <v>27</v>
      </c>
      <c r="C19" s="2">
        <v>0.25</v>
      </c>
      <c r="D19" s="2">
        <f t="shared" si="0"/>
        <v>0.03125</v>
      </c>
    </row>
    <row r="20" spans="1:4">
      <c r="A20" s="8">
        <v>43566</v>
      </c>
      <c r="B20" s="2" t="s">
        <v>27</v>
      </c>
      <c r="C20" s="2">
        <v>0.5</v>
      </c>
      <c r="D20" s="2">
        <f t="shared" si="0"/>
        <v>0.0625</v>
      </c>
    </row>
    <row r="21" spans="1:4">
      <c r="A21" s="8">
        <v>43570</v>
      </c>
      <c r="B21" s="2" t="s">
        <v>29</v>
      </c>
      <c r="C21" s="2">
        <v>0.25</v>
      </c>
      <c r="D21" s="2">
        <f t="shared" si="0"/>
        <v>0.03125</v>
      </c>
    </row>
    <row r="22" spans="1:4">
      <c r="A22" s="8">
        <v>43572</v>
      </c>
      <c r="B22" s="2" t="s">
        <v>29</v>
      </c>
      <c r="C22" s="2">
        <v>0.25</v>
      </c>
      <c r="D22" s="2">
        <f t="shared" si="0"/>
        <v>0.03125</v>
      </c>
    </row>
    <row r="23" spans="4:4">
      <c r="D23" s="2">
        <f t="shared" si="0"/>
        <v>0</v>
      </c>
    </row>
    <row r="24" spans="4:4">
      <c r="D24" s="2">
        <f t="shared" si="0"/>
        <v>0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si="0"/>
        <v>0</v>
      </c>
    </row>
    <row r="69" spans="4:4">
      <c r="D69" s="2">
        <f t="shared" ref="D69:D80" si="1">C69/8</f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  <row r="80" spans="4:4">
      <c r="D80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8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80"/>
  <sheetViews>
    <sheetView workbookViewId="0">
      <selection activeCell="A21" sqref="$A21:$XFD21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85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9">
      <c r="A4" s="8">
        <v>43269</v>
      </c>
      <c r="B4" s="2" t="s">
        <v>27</v>
      </c>
      <c r="C4" s="2">
        <v>67</v>
      </c>
      <c r="D4" s="2">
        <f>C4/8</f>
        <v>8.375</v>
      </c>
      <c r="E4" s="2">
        <v>1</v>
      </c>
      <c r="F4" s="2" t="s">
        <v>39</v>
      </c>
      <c r="I4" s="2" t="s">
        <v>85</v>
      </c>
    </row>
    <row r="5" spans="1:9">
      <c r="A5" s="8">
        <v>43315</v>
      </c>
      <c r="B5" s="2" t="s">
        <v>27</v>
      </c>
      <c r="C5" s="2">
        <v>-8</v>
      </c>
      <c r="D5" s="2">
        <f t="shared" ref="D5:D68" si="0">C5/8</f>
        <v>-1</v>
      </c>
      <c r="I5" s="2" t="s">
        <v>69</v>
      </c>
    </row>
    <row r="6" spans="1:4">
      <c r="A6" s="8">
        <v>43322</v>
      </c>
      <c r="B6" s="2" t="s">
        <v>25</v>
      </c>
      <c r="C6" s="2">
        <v>-12</v>
      </c>
      <c r="D6" s="2">
        <f t="shared" si="0"/>
        <v>-1.5</v>
      </c>
    </row>
    <row r="7" spans="1:4">
      <c r="A7" s="8">
        <v>43329</v>
      </c>
      <c r="B7" s="2" t="s">
        <v>25</v>
      </c>
      <c r="C7" s="2">
        <v>-2</v>
      </c>
      <c r="D7" s="2">
        <f t="shared" si="0"/>
        <v>-0.25</v>
      </c>
    </row>
    <row r="8" spans="1:4">
      <c r="A8" s="8">
        <v>43332</v>
      </c>
      <c r="B8" s="2" t="s">
        <v>26</v>
      </c>
      <c r="C8" s="2">
        <v>-15.2</v>
      </c>
      <c r="D8" s="2">
        <f t="shared" si="0"/>
        <v>-1.9</v>
      </c>
    </row>
    <row r="9" spans="1:4">
      <c r="A9" s="8">
        <v>43364</v>
      </c>
      <c r="B9" s="2" t="s">
        <v>28</v>
      </c>
      <c r="C9" s="2">
        <v>1</v>
      </c>
      <c r="D9" s="2">
        <f t="shared" si="0"/>
        <v>0.125</v>
      </c>
    </row>
    <row r="10" spans="1:4">
      <c r="A10" s="8">
        <v>43369</v>
      </c>
      <c r="B10" s="2" t="s">
        <v>27</v>
      </c>
      <c r="C10" s="2">
        <v>0.5</v>
      </c>
      <c r="D10" s="2">
        <f t="shared" si="0"/>
        <v>0.0625</v>
      </c>
    </row>
    <row r="11" spans="1:4">
      <c r="A11" s="8">
        <v>43378</v>
      </c>
      <c r="B11" s="2" t="s">
        <v>28</v>
      </c>
      <c r="C11" s="2">
        <v>0.5</v>
      </c>
      <c r="D11" s="2">
        <f t="shared" si="0"/>
        <v>0.0625</v>
      </c>
    </row>
    <row r="12" spans="1:4">
      <c r="A12" s="8">
        <v>43412</v>
      </c>
      <c r="B12" s="2" t="s">
        <v>28</v>
      </c>
      <c r="C12" s="2">
        <v>0.25</v>
      </c>
      <c r="D12" s="2">
        <f t="shared" si="0"/>
        <v>0.03125</v>
      </c>
    </row>
    <row r="13" spans="1:4">
      <c r="A13" s="8">
        <v>43474</v>
      </c>
      <c r="B13" s="2" t="s">
        <v>28</v>
      </c>
      <c r="C13" s="2">
        <v>0.25</v>
      </c>
      <c r="D13" s="2">
        <f t="shared" si="0"/>
        <v>0.03125</v>
      </c>
    </row>
    <row r="14" spans="1:4">
      <c r="A14" s="8">
        <v>43520</v>
      </c>
      <c r="B14" s="2" t="s">
        <v>29</v>
      </c>
      <c r="C14" s="2">
        <v>0.25</v>
      </c>
      <c r="D14" s="2">
        <f t="shared" si="0"/>
        <v>0.03125</v>
      </c>
    </row>
    <row r="15" spans="1:4">
      <c r="A15" s="8">
        <v>43536</v>
      </c>
      <c r="B15" s="2" t="s">
        <v>29</v>
      </c>
      <c r="C15" s="2">
        <v>0.25</v>
      </c>
      <c r="D15" s="2">
        <f t="shared" si="0"/>
        <v>0.03125</v>
      </c>
    </row>
    <row r="16" spans="1:4">
      <c r="A16" s="8">
        <v>43549</v>
      </c>
      <c r="B16" s="2" t="s">
        <v>29</v>
      </c>
      <c r="C16" s="2">
        <v>0.25</v>
      </c>
      <c r="D16" s="2">
        <f t="shared" si="0"/>
        <v>0.03125</v>
      </c>
    </row>
    <row r="17" spans="1:4">
      <c r="A17" s="8">
        <v>43550</v>
      </c>
      <c r="B17" s="2" t="s">
        <v>29</v>
      </c>
      <c r="C17" s="2">
        <v>0.25</v>
      </c>
      <c r="D17" s="2">
        <f t="shared" si="0"/>
        <v>0.03125</v>
      </c>
    </row>
    <row r="18" spans="1:4">
      <c r="A18" s="8">
        <v>43564</v>
      </c>
      <c r="B18" s="2" t="s">
        <v>27</v>
      </c>
      <c r="C18" s="2">
        <v>0.25</v>
      </c>
      <c r="D18" s="2">
        <f t="shared" si="0"/>
        <v>0.03125</v>
      </c>
    </row>
    <row r="19" spans="1:4">
      <c r="A19" s="8">
        <v>43566</v>
      </c>
      <c r="B19" s="2" t="s">
        <v>27</v>
      </c>
      <c r="C19" s="2">
        <v>0.25</v>
      </c>
      <c r="D19" s="2">
        <f t="shared" si="0"/>
        <v>0.03125</v>
      </c>
    </row>
    <row r="20" spans="1:4">
      <c r="A20" s="8">
        <v>43570</v>
      </c>
      <c r="B20" s="2" t="s">
        <v>29</v>
      </c>
      <c r="C20" s="2">
        <v>0.25</v>
      </c>
      <c r="D20" s="2">
        <f t="shared" si="0"/>
        <v>0.03125</v>
      </c>
    </row>
    <row r="21" spans="1:4">
      <c r="A21" s="8">
        <v>43572</v>
      </c>
      <c r="B21" s="2" t="s">
        <v>29</v>
      </c>
      <c r="C21" s="2">
        <v>0.25</v>
      </c>
      <c r="D21" s="2">
        <f t="shared" si="0"/>
        <v>0.03125</v>
      </c>
    </row>
    <row r="22" spans="4:4">
      <c r="D22" s="2">
        <f t="shared" si="0"/>
        <v>0</v>
      </c>
    </row>
    <row r="23" spans="4:4">
      <c r="D23" s="2">
        <f t="shared" si="0"/>
        <v>0</v>
      </c>
    </row>
    <row r="24" spans="4:4">
      <c r="D24" s="2">
        <f t="shared" si="0"/>
        <v>0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si="0"/>
        <v>0</v>
      </c>
    </row>
    <row r="69" spans="4:4">
      <c r="D69" s="2">
        <f t="shared" ref="D69:D80" si="1">C69/8</f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  <row r="80" spans="4:4">
      <c r="D80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8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80"/>
  <sheetViews>
    <sheetView workbookViewId="0">
      <selection activeCell="A22" sqref="$A22:$XFD22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86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9">
      <c r="A4" s="8">
        <v>43255</v>
      </c>
      <c r="B4" s="2" t="s">
        <v>27</v>
      </c>
      <c r="C4" s="2">
        <v>60</v>
      </c>
      <c r="D4" s="2">
        <f>C4/8</f>
        <v>7.5</v>
      </c>
      <c r="I4" s="2" t="s">
        <v>60</v>
      </c>
    </row>
    <row r="5" spans="1:9">
      <c r="A5" s="8">
        <v>43315</v>
      </c>
      <c r="B5" s="2" t="s">
        <v>27</v>
      </c>
      <c r="C5" s="2">
        <v>-12</v>
      </c>
      <c r="D5" s="2">
        <f t="shared" ref="D5:D68" si="0">C5/8</f>
        <v>-1.5</v>
      </c>
      <c r="I5" s="2" t="s">
        <v>69</v>
      </c>
    </row>
    <row r="6" spans="1:4">
      <c r="A6" s="8">
        <v>43322</v>
      </c>
      <c r="B6" s="2" t="s">
        <v>25</v>
      </c>
      <c r="C6" s="2">
        <v>-4</v>
      </c>
      <c r="D6" s="2">
        <f t="shared" si="0"/>
        <v>-0.5</v>
      </c>
    </row>
    <row r="7" spans="1:4">
      <c r="A7" s="8">
        <v>43329</v>
      </c>
      <c r="B7" s="2" t="s">
        <v>25</v>
      </c>
      <c r="C7" s="2">
        <v>-6</v>
      </c>
      <c r="D7" s="2">
        <f t="shared" si="0"/>
        <v>-0.75</v>
      </c>
    </row>
    <row r="8" spans="1:4">
      <c r="A8" s="8">
        <v>43332</v>
      </c>
      <c r="B8" s="2" t="s">
        <v>26</v>
      </c>
      <c r="C8" s="2">
        <v>-15.2</v>
      </c>
      <c r="D8" s="2">
        <f t="shared" si="0"/>
        <v>-1.9</v>
      </c>
    </row>
    <row r="9" spans="1:4">
      <c r="A9" s="8">
        <v>43364</v>
      </c>
      <c r="B9" s="2" t="s">
        <v>28</v>
      </c>
      <c r="C9" s="2">
        <v>1</v>
      </c>
      <c r="D9" s="2">
        <f t="shared" si="0"/>
        <v>0.125</v>
      </c>
    </row>
    <row r="10" spans="1:4">
      <c r="A10" s="8">
        <v>43369</v>
      </c>
      <c r="B10" s="2" t="s">
        <v>27</v>
      </c>
      <c r="C10" s="2">
        <v>0.25</v>
      </c>
      <c r="D10" s="2">
        <f t="shared" si="0"/>
        <v>0.03125</v>
      </c>
    </row>
    <row r="11" spans="1:4">
      <c r="A11" s="8">
        <v>43382</v>
      </c>
      <c r="B11" s="2" t="s">
        <v>28</v>
      </c>
      <c r="C11" s="2">
        <v>0.5</v>
      </c>
      <c r="D11" s="2">
        <f t="shared" si="0"/>
        <v>0.0625</v>
      </c>
    </row>
    <row r="12" spans="1:4">
      <c r="A12" s="8">
        <v>43418</v>
      </c>
      <c r="B12" s="2" t="s">
        <v>28</v>
      </c>
      <c r="C12" s="2">
        <v>0.25</v>
      </c>
      <c r="D12" s="2">
        <f t="shared" si="0"/>
        <v>0.03125</v>
      </c>
    </row>
    <row r="13" spans="1:4">
      <c r="A13" s="8">
        <v>43413</v>
      </c>
      <c r="B13" s="2" t="s">
        <v>28</v>
      </c>
      <c r="C13" s="2">
        <v>0.25</v>
      </c>
      <c r="D13" s="2">
        <f t="shared" si="0"/>
        <v>0.03125</v>
      </c>
    </row>
    <row r="14" spans="1:4">
      <c r="A14" s="8">
        <v>43520</v>
      </c>
      <c r="B14" s="2" t="s">
        <v>29</v>
      </c>
      <c r="C14" s="2">
        <v>0.25</v>
      </c>
      <c r="D14" s="2">
        <f t="shared" si="0"/>
        <v>0.03125</v>
      </c>
    </row>
    <row r="15" spans="1:4">
      <c r="A15" s="8">
        <v>43523</v>
      </c>
      <c r="B15" s="2" t="s">
        <v>29</v>
      </c>
      <c r="C15" s="2">
        <v>0.25</v>
      </c>
      <c r="D15" s="2">
        <f t="shared" si="0"/>
        <v>0.03125</v>
      </c>
    </row>
    <row r="16" spans="1:4">
      <c r="A16" s="8">
        <v>43536</v>
      </c>
      <c r="B16" s="2" t="s">
        <v>29</v>
      </c>
      <c r="C16" s="2">
        <v>0.25</v>
      </c>
      <c r="D16" s="2">
        <f t="shared" si="0"/>
        <v>0.03125</v>
      </c>
    </row>
    <row r="17" spans="1:4">
      <c r="A17" s="8">
        <v>43549</v>
      </c>
      <c r="B17" s="2" t="s">
        <v>29</v>
      </c>
      <c r="C17" s="2">
        <v>0.25</v>
      </c>
      <c r="D17" s="2">
        <f t="shared" si="0"/>
        <v>0.03125</v>
      </c>
    </row>
    <row r="18" spans="1:4">
      <c r="A18" s="8">
        <v>43550</v>
      </c>
      <c r="B18" s="2" t="s">
        <v>29</v>
      </c>
      <c r="C18" s="2">
        <v>0.25</v>
      </c>
      <c r="D18" s="2">
        <f t="shared" si="0"/>
        <v>0.03125</v>
      </c>
    </row>
    <row r="19" spans="1:4">
      <c r="A19" s="8">
        <v>43564</v>
      </c>
      <c r="B19" s="2" t="s">
        <v>27</v>
      </c>
      <c r="C19" s="2">
        <v>0.25</v>
      </c>
      <c r="D19" s="2">
        <f t="shared" si="0"/>
        <v>0.03125</v>
      </c>
    </row>
    <row r="20" spans="1:4">
      <c r="A20" s="8">
        <v>43566</v>
      </c>
      <c r="B20" s="2" t="s">
        <v>27</v>
      </c>
      <c r="C20" s="2">
        <v>0.5</v>
      </c>
      <c r="D20" s="2">
        <f t="shared" si="0"/>
        <v>0.0625</v>
      </c>
    </row>
    <row r="21" spans="1:4">
      <c r="A21" s="8">
        <v>43570</v>
      </c>
      <c r="B21" s="2" t="s">
        <v>29</v>
      </c>
      <c r="C21" s="2">
        <v>0.25</v>
      </c>
      <c r="D21" s="2">
        <f t="shared" si="0"/>
        <v>0.03125</v>
      </c>
    </row>
    <row r="22" spans="1:4">
      <c r="A22" s="8">
        <v>43572</v>
      </c>
      <c r="B22" s="2" t="s">
        <v>29</v>
      </c>
      <c r="C22" s="2">
        <v>0.25</v>
      </c>
      <c r="D22" s="2">
        <f t="shared" si="0"/>
        <v>0.03125</v>
      </c>
    </row>
    <row r="23" spans="4:4">
      <c r="D23" s="2">
        <f t="shared" si="0"/>
        <v>0</v>
      </c>
    </row>
    <row r="24" spans="4:4">
      <c r="D24" s="2">
        <f t="shared" si="0"/>
        <v>0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si="0"/>
        <v>0</v>
      </c>
    </row>
    <row r="69" spans="4:4">
      <c r="D69" s="2">
        <f t="shared" ref="D69:D80" si="1">C69/8</f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  <row r="80" spans="4:4">
      <c r="D80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79"/>
  <sheetViews>
    <sheetView workbookViewId="0">
      <selection activeCell="A24" sqref="$A24:$XFD24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87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4">
      <c r="A4" s="8">
        <v>43250</v>
      </c>
      <c r="B4" s="2" t="s">
        <v>27</v>
      </c>
      <c r="C4" s="2">
        <v>76</v>
      </c>
      <c r="D4" s="2">
        <f t="shared" ref="D4:D67" si="0">C4/8</f>
        <v>9.5</v>
      </c>
    </row>
    <row r="5" spans="1:4">
      <c r="A5" s="8">
        <v>43320</v>
      </c>
      <c r="B5" s="2" t="s">
        <v>25</v>
      </c>
      <c r="C5" s="2">
        <v>32</v>
      </c>
      <c r="D5" s="2">
        <f t="shared" si="0"/>
        <v>4</v>
      </c>
    </row>
    <row r="6" spans="1:4">
      <c r="A6" s="8">
        <v>43326</v>
      </c>
      <c r="B6" s="2" t="s">
        <v>25</v>
      </c>
      <c r="C6" s="2">
        <v>2</v>
      </c>
      <c r="D6" s="2">
        <f t="shared" si="0"/>
        <v>0.25</v>
      </c>
    </row>
    <row r="7" spans="1:4">
      <c r="A7" s="8">
        <v>43332</v>
      </c>
      <c r="B7" s="2" t="s">
        <v>26</v>
      </c>
      <c r="C7" s="2">
        <v>-15.2</v>
      </c>
      <c r="D7" s="2">
        <f t="shared" si="0"/>
        <v>-1.9</v>
      </c>
    </row>
    <row r="8" spans="1:4">
      <c r="A8" s="8">
        <v>43333</v>
      </c>
      <c r="B8" s="2" t="s">
        <v>25</v>
      </c>
      <c r="C8" s="2">
        <v>0.5</v>
      </c>
      <c r="D8" s="2">
        <f t="shared" si="0"/>
        <v>0.0625</v>
      </c>
    </row>
    <row r="9" spans="1:4">
      <c r="A9" s="8">
        <v>43363</v>
      </c>
      <c r="B9" s="2" t="s">
        <v>27</v>
      </c>
      <c r="C9" s="2">
        <v>2</v>
      </c>
      <c r="D9" s="2">
        <f t="shared" si="0"/>
        <v>0.25</v>
      </c>
    </row>
    <row r="10" spans="1:4">
      <c r="A10" s="8">
        <v>43376</v>
      </c>
      <c r="B10" s="2" t="s">
        <v>28</v>
      </c>
      <c r="C10" s="2">
        <v>0.5</v>
      </c>
      <c r="D10" s="2">
        <f t="shared" si="0"/>
        <v>0.0625</v>
      </c>
    </row>
    <row r="11" spans="1:4">
      <c r="A11" s="8">
        <v>43405</v>
      </c>
      <c r="B11" s="2" t="s">
        <v>28</v>
      </c>
      <c r="C11" s="2">
        <v>0.5</v>
      </c>
      <c r="D11" s="2">
        <f t="shared" si="0"/>
        <v>0.0625</v>
      </c>
    </row>
    <row r="12" spans="1:4">
      <c r="A12" s="8">
        <v>43418</v>
      </c>
      <c r="B12" s="2" t="s">
        <v>28</v>
      </c>
      <c r="C12" s="2">
        <v>0.25</v>
      </c>
      <c r="D12" s="2">
        <f t="shared" si="0"/>
        <v>0.03125</v>
      </c>
    </row>
    <row r="13" spans="1:4">
      <c r="A13" s="8">
        <v>43475</v>
      </c>
      <c r="B13" s="2" t="s">
        <v>28</v>
      </c>
      <c r="C13" s="2">
        <v>0.25</v>
      </c>
      <c r="D13" s="2">
        <f t="shared" si="0"/>
        <v>0.03125</v>
      </c>
    </row>
    <row r="14" spans="1:4">
      <c r="A14" s="8">
        <v>43495</v>
      </c>
      <c r="B14" s="2" t="s">
        <v>28</v>
      </c>
      <c r="C14" s="2">
        <v>0.25</v>
      </c>
      <c r="D14" s="2">
        <f t="shared" si="0"/>
        <v>0.03125</v>
      </c>
    </row>
    <row r="15" spans="1:4">
      <c r="A15" s="8">
        <v>43513</v>
      </c>
      <c r="B15" s="2" t="s">
        <v>27</v>
      </c>
      <c r="C15" s="2">
        <v>0.5</v>
      </c>
      <c r="D15" s="2">
        <f t="shared" si="0"/>
        <v>0.0625</v>
      </c>
    </row>
    <row r="16" spans="1:4">
      <c r="A16" s="8">
        <v>43520</v>
      </c>
      <c r="B16" s="2" t="s">
        <v>29</v>
      </c>
      <c r="C16" s="2">
        <v>0.25</v>
      </c>
      <c r="D16" s="2">
        <f t="shared" si="0"/>
        <v>0.03125</v>
      </c>
    </row>
    <row r="17" spans="1:4">
      <c r="A17" s="8">
        <v>43536</v>
      </c>
      <c r="B17" s="2" t="s">
        <v>29</v>
      </c>
      <c r="C17" s="2">
        <v>0.25</v>
      </c>
      <c r="D17" s="2">
        <f t="shared" si="0"/>
        <v>0.03125</v>
      </c>
    </row>
    <row r="18" spans="1:4">
      <c r="A18" s="8">
        <v>43549</v>
      </c>
      <c r="B18" s="2" t="s">
        <v>29</v>
      </c>
      <c r="C18" s="2">
        <v>0.5</v>
      </c>
      <c r="D18" s="2">
        <f t="shared" si="0"/>
        <v>0.0625</v>
      </c>
    </row>
    <row r="19" spans="1:4">
      <c r="A19" s="8">
        <v>43550</v>
      </c>
      <c r="B19" s="2" t="s">
        <v>29</v>
      </c>
      <c r="C19" s="2">
        <v>0.5</v>
      </c>
      <c r="D19" s="2">
        <f t="shared" si="0"/>
        <v>0.0625</v>
      </c>
    </row>
    <row r="20" spans="1:4">
      <c r="A20" s="8">
        <v>43551</v>
      </c>
      <c r="B20" s="2" t="s">
        <v>29</v>
      </c>
      <c r="C20" s="2">
        <v>0.25</v>
      </c>
      <c r="D20" s="2">
        <f t="shared" si="0"/>
        <v>0.03125</v>
      </c>
    </row>
    <row r="21" spans="1:4">
      <c r="A21" s="8">
        <v>43564</v>
      </c>
      <c r="B21" s="2" t="s">
        <v>27</v>
      </c>
      <c r="C21" s="2">
        <v>0.25</v>
      </c>
      <c r="D21" s="2">
        <f t="shared" si="0"/>
        <v>0.03125</v>
      </c>
    </row>
    <row r="22" spans="1:4">
      <c r="A22" s="8">
        <v>43566</v>
      </c>
      <c r="B22" s="2" t="s">
        <v>27</v>
      </c>
      <c r="C22" s="2">
        <v>0.25</v>
      </c>
      <c r="D22" s="2">
        <f t="shared" si="0"/>
        <v>0.03125</v>
      </c>
    </row>
    <row r="23" spans="1:4">
      <c r="A23" s="8">
        <v>43570</v>
      </c>
      <c r="B23" s="2" t="s">
        <v>29</v>
      </c>
      <c r="C23" s="2">
        <v>0.5</v>
      </c>
      <c r="D23" s="2">
        <f t="shared" si="0"/>
        <v>0.0625</v>
      </c>
    </row>
    <row r="24" spans="1:4">
      <c r="A24" s="8">
        <v>43572</v>
      </c>
      <c r="B24" s="2" t="s">
        <v>29</v>
      </c>
      <c r="C24" s="2">
        <v>0.25</v>
      </c>
      <c r="D24" s="2">
        <f t="shared" si="0"/>
        <v>0.03125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ref="D68:D79" si="1">C68/8</f>
        <v>0</v>
      </c>
    </row>
    <row r="69" spans="4:4">
      <c r="D69" s="2">
        <f t="shared" si="1"/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8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79"/>
  <sheetViews>
    <sheetView workbookViewId="0">
      <selection activeCell="A16" sqref="$A16:$XFD16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88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4">
      <c r="A4" s="8">
        <v>43250</v>
      </c>
      <c r="B4" s="2" t="s">
        <v>27</v>
      </c>
      <c r="C4" s="2">
        <v>72</v>
      </c>
      <c r="D4" s="2">
        <f t="shared" ref="D4:D67" si="0">C4/8</f>
        <v>9</v>
      </c>
    </row>
    <row r="5" spans="1:4">
      <c r="A5" s="8">
        <v>43312</v>
      </c>
      <c r="B5" s="2" t="s">
        <v>25</v>
      </c>
      <c r="C5" s="2">
        <v>8</v>
      </c>
      <c r="D5" s="2">
        <f t="shared" si="0"/>
        <v>1</v>
      </c>
    </row>
    <row r="6" spans="1:4">
      <c r="A6" s="8">
        <v>43332</v>
      </c>
      <c r="B6" s="2" t="s">
        <v>26</v>
      </c>
      <c r="C6" s="2">
        <v>-15.2</v>
      </c>
      <c r="D6" s="2">
        <f t="shared" si="0"/>
        <v>-1.9</v>
      </c>
    </row>
    <row r="7" spans="1:4">
      <c r="A7" s="8">
        <v>43369</v>
      </c>
      <c r="B7" s="2" t="s">
        <v>27</v>
      </c>
      <c r="C7" s="2">
        <v>0.5</v>
      </c>
      <c r="D7" s="2">
        <f t="shared" si="0"/>
        <v>0.0625</v>
      </c>
    </row>
    <row r="8" spans="1:4">
      <c r="A8" s="8">
        <v>43377</v>
      </c>
      <c r="B8" s="2" t="s">
        <v>27</v>
      </c>
      <c r="C8" s="2">
        <v>0.25</v>
      </c>
      <c r="D8" s="2">
        <f t="shared" si="0"/>
        <v>0.03125</v>
      </c>
    </row>
    <row r="9" spans="1:4">
      <c r="A9" s="8">
        <v>43418</v>
      </c>
      <c r="B9" s="2" t="s">
        <v>28</v>
      </c>
      <c r="C9" s="2">
        <v>0.25</v>
      </c>
      <c r="D9" s="2">
        <f t="shared" si="0"/>
        <v>0.03125</v>
      </c>
    </row>
    <row r="10" spans="1:4">
      <c r="A10" s="8">
        <v>43497</v>
      </c>
      <c r="B10" s="2" t="s">
        <v>28</v>
      </c>
      <c r="C10" s="2">
        <v>0.25</v>
      </c>
      <c r="D10" s="2">
        <f t="shared" si="0"/>
        <v>0.03125</v>
      </c>
    </row>
    <row r="11" spans="1:4">
      <c r="A11" s="8">
        <v>43513</v>
      </c>
      <c r="B11" s="2" t="s">
        <v>27</v>
      </c>
      <c r="C11" s="2">
        <v>0.5</v>
      </c>
      <c r="D11" s="2">
        <f t="shared" si="0"/>
        <v>0.0625</v>
      </c>
    </row>
    <row r="12" spans="1:4">
      <c r="A12" s="8">
        <v>43520</v>
      </c>
      <c r="B12" s="2" t="s">
        <v>29</v>
      </c>
      <c r="C12" s="2">
        <v>0.25</v>
      </c>
      <c r="D12" s="2">
        <f t="shared" si="0"/>
        <v>0.03125</v>
      </c>
    </row>
    <row r="13" spans="1:4">
      <c r="A13" s="8">
        <v>43549</v>
      </c>
      <c r="B13" s="2" t="s">
        <v>29</v>
      </c>
      <c r="C13" s="2">
        <v>0.5</v>
      </c>
      <c r="D13" s="2">
        <f t="shared" si="0"/>
        <v>0.0625</v>
      </c>
    </row>
    <row r="14" spans="1:4">
      <c r="A14" s="8">
        <v>43564</v>
      </c>
      <c r="B14" s="2" t="s">
        <v>27</v>
      </c>
      <c r="C14" s="2">
        <v>0.25</v>
      </c>
      <c r="D14" s="2">
        <f t="shared" si="0"/>
        <v>0.03125</v>
      </c>
    </row>
    <row r="15" spans="1:4">
      <c r="A15" s="8">
        <v>43570</v>
      </c>
      <c r="B15" s="2" t="s">
        <v>29</v>
      </c>
      <c r="C15" s="2">
        <v>0.25</v>
      </c>
      <c r="D15" s="2">
        <f t="shared" si="0"/>
        <v>0.03125</v>
      </c>
    </row>
    <row r="16" spans="1:4">
      <c r="A16" s="8">
        <v>43572</v>
      </c>
      <c r="B16" s="2" t="s">
        <v>29</v>
      </c>
      <c r="C16" s="2">
        <v>0.25</v>
      </c>
      <c r="D16" s="2">
        <f t="shared" si="0"/>
        <v>0.03125</v>
      </c>
    </row>
    <row r="17" spans="1:4">
      <c r="A17" s="8"/>
      <c r="D17" s="2">
        <f t="shared" si="0"/>
        <v>0</v>
      </c>
    </row>
    <row r="18" spans="4:4">
      <c r="D18" s="2">
        <f t="shared" si="0"/>
        <v>0</v>
      </c>
    </row>
    <row r="19" spans="4:4">
      <c r="D19" s="2">
        <f t="shared" si="0"/>
        <v>0</v>
      </c>
    </row>
    <row r="20" spans="4:4">
      <c r="D20" s="2">
        <f t="shared" si="0"/>
        <v>0</v>
      </c>
    </row>
    <row r="21" spans="4:4">
      <c r="D21" s="2">
        <f t="shared" si="0"/>
        <v>0</v>
      </c>
    </row>
    <row r="22" spans="4:4">
      <c r="D22" s="2">
        <f t="shared" si="0"/>
        <v>0</v>
      </c>
    </row>
    <row r="23" spans="4:4">
      <c r="D23" s="2">
        <f t="shared" si="0"/>
        <v>0</v>
      </c>
    </row>
    <row r="24" spans="4:4">
      <c r="D24" s="2">
        <f t="shared" si="0"/>
        <v>0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ref="D68:D79" si="1">C68/8</f>
        <v>0</v>
      </c>
    </row>
    <row r="69" spans="4:4">
      <c r="D69" s="2">
        <f t="shared" si="1"/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9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80"/>
  <sheetViews>
    <sheetView workbookViewId="0">
      <selection activeCell="D11" sqref="D11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89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9">
      <c r="A4" s="8">
        <v>43269</v>
      </c>
      <c r="B4" s="2" t="s">
        <v>27</v>
      </c>
      <c r="C4" s="2">
        <v>84.5</v>
      </c>
      <c r="D4" s="2">
        <f>C4/8</f>
        <v>10.5625</v>
      </c>
      <c r="E4" s="2">
        <v>1.9</v>
      </c>
      <c r="F4" s="2" t="s">
        <v>39</v>
      </c>
      <c r="I4" s="2" t="s">
        <v>86</v>
      </c>
    </row>
    <row r="5" spans="1:9">
      <c r="A5" s="8">
        <v>43315</v>
      </c>
      <c r="B5" s="2" t="s">
        <v>27</v>
      </c>
      <c r="C5" s="2">
        <v>12</v>
      </c>
      <c r="D5" s="2">
        <f t="shared" ref="D5:D68" si="0">C5/8</f>
        <v>1.5</v>
      </c>
      <c r="I5" s="2" t="s">
        <v>87</v>
      </c>
    </row>
    <row r="6" spans="1:9">
      <c r="A6" s="8">
        <v>43321</v>
      </c>
      <c r="B6" s="2" t="s">
        <v>25</v>
      </c>
      <c r="C6" s="2">
        <v>-16</v>
      </c>
      <c r="D6" s="2">
        <f t="shared" si="0"/>
        <v>-2</v>
      </c>
      <c r="I6" s="2" t="s">
        <v>64</v>
      </c>
    </row>
    <row r="7" spans="1:4">
      <c r="A7" s="8">
        <v>43329</v>
      </c>
      <c r="B7" s="2" t="s">
        <v>25</v>
      </c>
      <c r="C7" s="2">
        <v>8</v>
      </c>
      <c r="D7" s="2">
        <f t="shared" si="0"/>
        <v>1</v>
      </c>
    </row>
    <row r="8" spans="1:4">
      <c r="A8" s="8">
        <v>43332</v>
      </c>
      <c r="B8" s="2" t="s">
        <v>26</v>
      </c>
      <c r="C8" s="2">
        <v>-15.2</v>
      </c>
      <c r="D8" s="2">
        <f t="shared" si="0"/>
        <v>-1.9</v>
      </c>
    </row>
    <row r="9" spans="1:4">
      <c r="A9" s="8">
        <v>43363</v>
      </c>
      <c r="B9" s="2" t="s">
        <v>27</v>
      </c>
      <c r="C9" s="2">
        <v>2</v>
      </c>
      <c r="D9" s="2">
        <f t="shared" si="0"/>
        <v>0.25</v>
      </c>
    </row>
    <row r="10" spans="1:4">
      <c r="A10" s="8">
        <v>43369</v>
      </c>
      <c r="B10" s="2" t="s">
        <v>27</v>
      </c>
      <c r="C10" s="2">
        <v>0.5</v>
      </c>
      <c r="D10" s="2">
        <f t="shared" si="0"/>
        <v>0.0625</v>
      </c>
    </row>
    <row r="11" spans="1:4">
      <c r="A11" s="8">
        <v>43378</v>
      </c>
      <c r="B11" s="2" t="s">
        <v>28</v>
      </c>
      <c r="C11" s="2">
        <v>0.5</v>
      </c>
      <c r="D11" s="2">
        <f t="shared" si="0"/>
        <v>0.0625</v>
      </c>
    </row>
    <row r="12" spans="4:4">
      <c r="D12" s="2">
        <f t="shared" si="0"/>
        <v>0</v>
      </c>
    </row>
    <row r="13" spans="4:4">
      <c r="D13" s="2">
        <f t="shared" si="0"/>
        <v>0</v>
      </c>
    </row>
    <row r="14" spans="4:4">
      <c r="D14" s="2">
        <f t="shared" si="0"/>
        <v>0</v>
      </c>
    </row>
    <row r="15" spans="4:4">
      <c r="D15" s="2">
        <f t="shared" si="0"/>
        <v>0</v>
      </c>
    </row>
    <row r="16" spans="1:4">
      <c r="A16" s="8"/>
      <c r="D16" s="2">
        <f t="shared" si="0"/>
        <v>0</v>
      </c>
    </row>
    <row r="17" spans="1:4">
      <c r="A17" s="8"/>
      <c r="D17" s="2">
        <f t="shared" si="0"/>
        <v>0</v>
      </c>
    </row>
    <row r="18" spans="1:4">
      <c r="A18" s="8"/>
      <c r="D18" s="2">
        <f t="shared" si="0"/>
        <v>0</v>
      </c>
    </row>
    <row r="19" spans="4:4">
      <c r="D19" s="2">
        <f t="shared" si="0"/>
        <v>0</v>
      </c>
    </row>
    <row r="20" spans="4:4">
      <c r="D20" s="2">
        <f t="shared" si="0"/>
        <v>0</v>
      </c>
    </row>
    <row r="21" spans="4:4">
      <c r="D21" s="2">
        <f t="shared" si="0"/>
        <v>0</v>
      </c>
    </row>
    <row r="22" spans="4:4">
      <c r="D22" s="2">
        <f t="shared" si="0"/>
        <v>0</v>
      </c>
    </row>
    <row r="23" spans="4:4">
      <c r="D23" s="2">
        <f t="shared" si="0"/>
        <v>0</v>
      </c>
    </row>
    <row r="24" spans="4:4">
      <c r="D24" s="2">
        <f t="shared" si="0"/>
        <v>0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si="0"/>
        <v>0</v>
      </c>
    </row>
    <row r="69" spans="4:4">
      <c r="D69" s="2">
        <f t="shared" ref="D69:D80" si="1">C69/8</f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  <row r="80" spans="4:4">
      <c r="D80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9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80"/>
  <sheetViews>
    <sheetView workbookViewId="0">
      <selection activeCell="A25" sqref="$A25:$XFD25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90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9">
      <c r="A4" s="8">
        <v>43269</v>
      </c>
      <c r="B4" s="2" t="s">
        <v>27</v>
      </c>
      <c r="C4" s="2">
        <v>58</v>
      </c>
      <c r="D4" s="2">
        <f>C4/8</f>
        <v>7.25</v>
      </c>
      <c r="E4" s="2">
        <v>1</v>
      </c>
      <c r="F4" s="2" t="s">
        <v>39</v>
      </c>
      <c r="I4" s="2" t="s">
        <v>40</v>
      </c>
    </row>
    <row r="5" spans="1:9">
      <c r="A5" s="8">
        <v>43315</v>
      </c>
      <c r="B5" s="2" t="s">
        <v>27</v>
      </c>
      <c r="C5" s="2">
        <v>-4</v>
      </c>
      <c r="D5" s="2">
        <f t="shared" ref="D5:D68" si="0">C5/8</f>
        <v>-0.5</v>
      </c>
      <c r="I5" s="2" t="s">
        <v>69</v>
      </c>
    </row>
    <row r="6" spans="1:4">
      <c r="A6" s="8">
        <v>43322</v>
      </c>
      <c r="B6" s="2" t="s">
        <v>25</v>
      </c>
      <c r="C6" s="2">
        <v>-8</v>
      </c>
      <c r="D6" s="2">
        <f t="shared" si="0"/>
        <v>-1</v>
      </c>
    </row>
    <row r="7" spans="1:4">
      <c r="A7" s="8">
        <v>43329</v>
      </c>
      <c r="B7" s="2" t="s">
        <v>25</v>
      </c>
      <c r="C7" s="2">
        <v>-6</v>
      </c>
      <c r="D7" s="2">
        <f t="shared" si="0"/>
        <v>-0.75</v>
      </c>
    </row>
    <row r="8" spans="1:4">
      <c r="A8" s="8">
        <v>43332</v>
      </c>
      <c r="B8" s="2" t="s">
        <v>26</v>
      </c>
      <c r="C8" s="2">
        <v>-15.2</v>
      </c>
      <c r="D8" s="2">
        <f t="shared" si="0"/>
        <v>-1.9</v>
      </c>
    </row>
    <row r="9" spans="1:4">
      <c r="A9" s="8">
        <v>43364</v>
      </c>
      <c r="B9" s="2" t="s">
        <v>28</v>
      </c>
      <c r="C9" s="2">
        <v>1</v>
      </c>
      <c r="D9" s="2">
        <f t="shared" si="0"/>
        <v>0.125</v>
      </c>
    </row>
    <row r="10" spans="1:4">
      <c r="A10" s="8">
        <v>43369</v>
      </c>
      <c r="B10" s="2" t="s">
        <v>27</v>
      </c>
      <c r="C10" s="2">
        <v>0.5</v>
      </c>
      <c r="D10" s="2">
        <f t="shared" si="0"/>
        <v>0.0625</v>
      </c>
    </row>
    <row r="11" spans="1:4">
      <c r="A11" s="8">
        <v>43381</v>
      </c>
      <c r="B11" s="2" t="s">
        <v>28</v>
      </c>
      <c r="C11" s="2">
        <v>0.5</v>
      </c>
      <c r="D11" s="2">
        <f t="shared" si="0"/>
        <v>0.0625</v>
      </c>
    </row>
    <row r="12" spans="1:4">
      <c r="A12" s="8">
        <v>43382</v>
      </c>
      <c r="B12" s="2" t="s">
        <v>28</v>
      </c>
      <c r="C12" s="2">
        <v>0.5</v>
      </c>
      <c r="D12" s="2">
        <f t="shared" si="0"/>
        <v>0.0625</v>
      </c>
    </row>
    <row r="13" spans="1:4">
      <c r="A13" s="8">
        <v>43418</v>
      </c>
      <c r="B13" s="2" t="s">
        <v>28</v>
      </c>
      <c r="C13" s="2">
        <v>0.5</v>
      </c>
      <c r="D13" s="2">
        <f t="shared" si="0"/>
        <v>0.0625</v>
      </c>
    </row>
    <row r="14" spans="1:4">
      <c r="A14" s="8">
        <v>43413</v>
      </c>
      <c r="B14" s="2" t="s">
        <v>28</v>
      </c>
      <c r="C14" s="2">
        <v>0.5</v>
      </c>
      <c r="D14" s="2">
        <f t="shared" si="0"/>
        <v>0.0625</v>
      </c>
    </row>
    <row r="15" spans="1:4">
      <c r="A15" s="8">
        <v>43474</v>
      </c>
      <c r="B15" s="2" t="s">
        <v>28</v>
      </c>
      <c r="C15" s="2">
        <v>0.25</v>
      </c>
      <c r="D15" s="2">
        <f t="shared" si="0"/>
        <v>0.03125</v>
      </c>
    </row>
    <row r="16" spans="1:4">
      <c r="A16" s="8">
        <v>43513</v>
      </c>
      <c r="B16" s="2" t="s">
        <v>27</v>
      </c>
      <c r="C16" s="2">
        <v>0.25</v>
      </c>
      <c r="D16" s="2">
        <f t="shared" si="0"/>
        <v>0.03125</v>
      </c>
    </row>
    <row r="17" spans="1:4">
      <c r="A17" s="8">
        <v>43520</v>
      </c>
      <c r="B17" s="2" t="s">
        <v>29</v>
      </c>
      <c r="C17" s="2">
        <v>0.25</v>
      </c>
      <c r="D17" s="2">
        <f t="shared" si="0"/>
        <v>0.03125</v>
      </c>
    </row>
    <row r="18" spans="1:4">
      <c r="A18" s="8">
        <v>43523</v>
      </c>
      <c r="B18" s="2" t="s">
        <v>29</v>
      </c>
      <c r="C18" s="2">
        <v>0.25</v>
      </c>
      <c r="D18" s="2">
        <f t="shared" si="0"/>
        <v>0.03125</v>
      </c>
    </row>
    <row r="19" spans="1:4">
      <c r="A19" s="8">
        <v>43536</v>
      </c>
      <c r="B19" s="2" t="s">
        <v>29</v>
      </c>
      <c r="C19" s="2">
        <v>0.25</v>
      </c>
      <c r="D19" s="2">
        <f t="shared" si="0"/>
        <v>0.03125</v>
      </c>
    </row>
    <row r="20" spans="1:4">
      <c r="A20" s="8">
        <v>43549</v>
      </c>
      <c r="B20" s="2" t="s">
        <v>29</v>
      </c>
      <c r="C20" s="2">
        <v>0.25</v>
      </c>
      <c r="D20" s="2">
        <f t="shared" si="0"/>
        <v>0.03125</v>
      </c>
    </row>
    <row r="21" spans="1:4">
      <c r="A21" s="8">
        <v>43550</v>
      </c>
      <c r="B21" s="2" t="s">
        <v>29</v>
      </c>
      <c r="C21" s="2">
        <v>0.25</v>
      </c>
      <c r="D21" s="2">
        <f t="shared" si="0"/>
        <v>0.03125</v>
      </c>
    </row>
    <row r="22" spans="1:4">
      <c r="A22" s="8">
        <v>43564</v>
      </c>
      <c r="B22" s="2" t="s">
        <v>27</v>
      </c>
      <c r="C22" s="2">
        <v>0.25</v>
      </c>
      <c r="D22" s="2">
        <f t="shared" si="0"/>
        <v>0.03125</v>
      </c>
    </row>
    <row r="23" spans="1:4">
      <c r="A23" s="8">
        <v>43566</v>
      </c>
      <c r="B23" s="2" t="s">
        <v>27</v>
      </c>
      <c r="C23" s="2">
        <v>0.5</v>
      </c>
      <c r="D23" s="2">
        <f t="shared" si="0"/>
        <v>0.0625</v>
      </c>
    </row>
    <row r="24" spans="1:4">
      <c r="A24" s="8">
        <v>43570</v>
      </c>
      <c r="B24" s="2" t="s">
        <v>29</v>
      </c>
      <c r="C24" s="2">
        <v>0.25</v>
      </c>
      <c r="D24" s="2">
        <f t="shared" si="0"/>
        <v>0.03125</v>
      </c>
    </row>
    <row r="25" spans="1:4">
      <c r="A25" s="8">
        <v>43572</v>
      </c>
      <c r="B25" s="2" t="s">
        <v>29</v>
      </c>
      <c r="C25" s="2">
        <v>0.25</v>
      </c>
      <c r="D25" s="2">
        <f t="shared" si="0"/>
        <v>0.03125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si="0"/>
        <v>0</v>
      </c>
    </row>
    <row r="69" spans="4:4">
      <c r="D69" s="2">
        <f t="shared" ref="D69:D80" si="1">C69/8</f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  <row r="80" spans="4:4">
      <c r="D80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9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79"/>
  <sheetViews>
    <sheetView workbookViewId="0">
      <selection activeCell="A21" sqref="$A21:$XFD21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91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4">
      <c r="A4" s="8">
        <v>43250</v>
      </c>
      <c r="B4" s="2" t="s">
        <v>27</v>
      </c>
      <c r="C4" s="2">
        <v>64</v>
      </c>
      <c r="D4" s="2">
        <f t="shared" ref="D4:D67" si="0">C4/8</f>
        <v>8</v>
      </c>
    </row>
    <row r="5" spans="1:9">
      <c r="A5" s="8">
        <v>43311</v>
      </c>
      <c r="B5" s="2" t="s">
        <v>27</v>
      </c>
      <c r="C5" s="2">
        <v>24</v>
      </c>
      <c r="D5" s="2">
        <f t="shared" si="0"/>
        <v>3</v>
      </c>
      <c r="I5" s="2" t="s">
        <v>88</v>
      </c>
    </row>
    <row r="6" spans="1:4">
      <c r="A6" s="8">
        <v>43332</v>
      </c>
      <c r="B6" s="2" t="s">
        <v>26</v>
      </c>
      <c r="C6" s="2">
        <v>-15.2</v>
      </c>
      <c r="D6" s="2">
        <f t="shared" si="0"/>
        <v>-1.9</v>
      </c>
    </row>
    <row r="7" spans="1:4">
      <c r="A7" s="8">
        <v>43333</v>
      </c>
      <c r="B7" s="2" t="s">
        <v>25</v>
      </c>
      <c r="C7" s="2">
        <v>0.5</v>
      </c>
      <c r="D7" s="2">
        <f t="shared" si="0"/>
        <v>0.0625</v>
      </c>
    </row>
    <row r="8" spans="1:4">
      <c r="A8" s="8">
        <v>43363</v>
      </c>
      <c r="B8" s="2" t="s">
        <v>27</v>
      </c>
      <c r="C8" s="2">
        <v>1</v>
      </c>
      <c r="D8" s="2">
        <f t="shared" si="0"/>
        <v>0.125</v>
      </c>
    </row>
    <row r="9" spans="1:4">
      <c r="A9" s="8">
        <v>43369</v>
      </c>
      <c r="B9" s="2" t="s">
        <v>27</v>
      </c>
      <c r="C9" s="2">
        <v>0.5</v>
      </c>
      <c r="D9" s="2">
        <f t="shared" si="0"/>
        <v>0.0625</v>
      </c>
    </row>
    <row r="10" spans="1:4">
      <c r="A10" s="8">
        <v>43406</v>
      </c>
      <c r="B10" s="2" t="s">
        <v>28</v>
      </c>
      <c r="C10" s="2">
        <v>0.25</v>
      </c>
      <c r="D10" s="2">
        <f t="shared" si="0"/>
        <v>0.03125</v>
      </c>
    </row>
    <row r="11" spans="1:4">
      <c r="A11" s="8">
        <v>43418</v>
      </c>
      <c r="B11" s="2" t="s">
        <v>28</v>
      </c>
      <c r="C11" s="2">
        <v>0.5</v>
      </c>
      <c r="D11" s="2">
        <f t="shared" si="0"/>
        <v>0.0625</v>
      </c>
    </row>
    <row r="12" spans="1:4">
      <c r="A12" s="8">
        <v>43496</v>
      </c>
      <c r="B12" s="2" t="s">
        <v>28</v>
      </c>
      <c r="C12" s="2">
        <v>0.25</v>
      </c>
      <c r="D12" s="2">
        <f t="shared" si="0"/>
        <v>0.03125</v>
      </c>
    </row>
    <row r="13" spans="1:4">
      <c r="A13" s="8">
        <v>43513</v>
      </c>
      <c r="B13" s="2" t="s">
        <v>27</v>
      </c>
      <c r="C13" s="2">
        <v>0.25</v>
      </c>
      <c r="D13" s="2">
        <f t="shared" si="0"/>
        <v>0.03125</v>
      </c>
    </row>
    <row r="14" spans="1:4">
      <c r="A14" s="8">
        <v>43520</v>
      </c>
      <c r="B14" s="2" t="s">
        <v>29</v>
      </c>
      <c r="C14" s="2">
        <v>0.25</v>
      </c>
      <c r="D14" s="2">
        <f t="shared" si="0"/>
        <v>0.03125</v>
      </c>
    </row>
    <row r="15" spans="1:4">
      <c r="A15" s="8">
        <v>43536</v>
      </c>
      <c r="B15" s="2" t="s">
        <v>29</v>
      </c>
      <c r="C15" s="2">
        <v>0.25</v>
      </c>
      <c r="D15" s="2">
        <f t="shared" si="0"/>
        <v>0.03125</v>
      </c>
    </row>
    <row r="16" spans="1:4">
      <c r="A16" s="8">
        <v>43549</v>
      </c>
      <c r="B16" s="2" t="s">
        <v>29</v>
      </c>
      <c r="C16" s="2">
        <v>0.25</v>
      </c>
      <c r="D16" s="2">
        <f t="shared" si="0"/>
        <v>0.03125</v>
      </c>
    </row>
    <row r="17" spans="1:4">
      <c r="A17" s="8">
        <v>43550</v>
      </c>
      <c r="B17" s="2" t="s">
        <v>29</v>
      </c>
      <c r="C17" s="2">
        <v>0.25</v>
      </c>
      <c r="D17" s="2">
        <f t="shared" si="0"/>
        <v>0.03125</v>
      </c>
    </row>
    <row r="18" spans="1:4">
      <c r="A18" s="8">
        <v>43564</v>
      </c>
      <c r="B18" s="2" t="s">
        <v>27</v>
      </c>
      <c r="C18" s="2">
        <v>0.25</v>
      </c>
      <c r="D18" s="2">
        <f t="shared" si="0"/>
        <v>0.03125</v>
      </c>
    </row>
    <row r="19" spans="1:4">
      <c r="A19" s="8">
        <v>43566</v>
      </c>
      <c r="B19" s="2" t="s">
        <v>27</v>
      </c>
      <c r="C19" s="2">
        <v>0.5</v>
      </c>
      <c r="D19" s="2">
        <f t="shared" si="0"/>
        <v>0.0625</v>
      </c>
    </row>
    <row r="20" spans="1:4">
      <c r="A20" s="8">
        <v>43570</v>
      </c>
      <c r="B20" s="2" t="s">
        <v>29</v>
      </c>
      <c r="C20" s="2">
        <v>0.25</v>
      </c>
      <c r="D20" s="2">
        <f t="shared" si="0"/>
        <v>0.03125</v>
      </c>
    </row>
    <row r="21" spans="1:4">
      <c r="A21" s="8">
        <v>43572</v>
      </c>
      <c r="B21" s="2" t="s">
        <v>29</v>
      </c>
      <c r="C21" s="2">
        <v>0.25</v>
      </c>
      <c r="D21" s="2">
        <f t="shared" si="0"/>
        <v>0.03125</v>
      </c>
    </row>
    <row r="22" spans="4:4">
      <c r="D22" s="2">
        <f t="shared" si="0"/>
        <v>0</v>
      </c>
    </row>
    <row r="23" spans="4:4">
      <c r="D23" s="2">
        <f t="shared" si="0"/>
        <v>0</v>
      </c>
    </row>
    <row r="24" spans="4:4">
      <c r="D24" s="2">
        <f t="shared" si="0"/>
        <v>0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ref="D68:D79" si="1">C68/8</f>
        <v>0</v>
      </c>
    </row>
    <row r="69" spans="4:4">
      <c r="D69" s="2">
        <f t="shared" si="1"/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80"/>
  <sheetViews>
    <sheetView workbookViewId="0">
      <selection activeCell="A11" sqref="A11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92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9">
      <c r="A4" s="8">
        <v>43269</v>
      </c>
      <c r="B4" s="2" t="s">
        <v>27</v>
      </c>
      <c r="C4" s="2">
        <v>65</v>
      </c>
      <c r="D4" s="2">
        <f>C4/8</f>
        <v>8.125</v>
      </c>
      <c r="F4" s="2" t="s">
        <v>39</v>
      </c>
      <c r="I4" s="2" t="s">
        <v>40</v>
      </c>
    </row>
    <row r="5" spans="1:9">
      <c r="A5" s="8">
        <v>43313</v>
      </c>
      <c r="B5" s="2" t="s">
        <v>25</v>
      </c>
      <c r="C5" s="2">
        <v>23</v>
      </c>
      <c r="D5" s="2">
        <f t="shared" ref="D5:D68" si="0">C5/8</f>
        <v>2.875</v>
      </c>
      <c r="I5" s="2" t="s">
        <v>89</v>
      </c>
    </row>
    <row r="6" spans="1:9">
      <c r="A6" s="8">
        <v>43321</v>
      </c>
      <c r="B6" s="2" t="s">
        <v>25</v>
      </c>
      <c r="C6" s="2">
        <v>2</v>
      </c>
      <c r="D6" s="2">
        <f t="shared" si="0"/>
        <v>0.25</v>
      </c>
      <c r="I6" s="2" t="s">
        <v>64</v>
      </c>
    </row>
    <row r="7" spans="1:4">
      <c r="A7" s="8">
        <v>43329</v>
      </c>
      <c r="B7" s="2" t="s">
        <v>25</v>
      </c>
      <c r="C7" s="2">
        <v>0.25</v>
      </c>
      <c r="D7" s="2">
        <f t="shared" si="0"/>
        <v>0.03125</v>
      </c>
    </row>
    <row r="8" spans="1:4">
      <c r="A8" s="8">
        <v>43332</v>
      </c>
      <c r="B8" s="2" t="s">
        <v>26</v>
      </c>
      <c r="C8" s="2">
        <v>-15.2</v>
      </c>
      <c r="D8" s="2">
        <f t="shared" si="0"/>
        <v>-1.9</v>
      </c>
    </row>
    <row r="9" spans="1:4">
      <c r="A9" s="8">
        <v>43333</v>
      </c>
      <c r="B9" s="2" t="s">
        <v>25</v>
      </c>
      <c r="C9" s="2">
        <v>0.5</v>
      </c>
      <c r="D9" s="2">
        <f t="shared" si="0"/>
        <v>0.0625</v>
      </c>
    </row>
    <row r="10" spans="1:4">
      <c r="A10" s="8">
        <v>43363</v>
      </c>
      <c r="B10" s="2" t="s">
        <v>27</v>
      </c>
      <c r="C10" s="2">
        <v>1</v>
      </c>
      <c r="D10" s="2">
        <f t="shared" si="0"/>
        <v>0.125</v>
      </c>
    </row>
    <row r="11" spans="1:4">
      <c r="A11" s="8"/>
      <c r="D11" s="2">
        <f t="shared" si="0"/>
        <v>0</v>
      </c>
    </row>
    <row r="12" spans="4:4">
      <c r="D12" s="2">
        <f t="shared" si="0"/>
        <v>0</v>
      </c>
    </row>
    <row r="13" spans="4:4">
      <c r="D13" s="2">
        <f t="shared" si="0"/>
        <v>0</v>
      </c>
    </row>
    <row r="14" spans="4:4">
      <c r="D14" s="2">
        <f t="shared" si="0"/>
        <v>0</v>
      </c>
    </row>
    <row r="15" spans="4:4">
      <c r="D15" s="2">
        <f t="shared" si="0"/>
        <v>0</v>
      </c>
    </row>
    <row r="16" spans="1:4">
      <c r="A16" s="8"/>
      <c r="D16" s="2">
        <f t="shared" si="0"/>
        <v>0</v>
      </c>
    </row>
    <row r="17" spans="1:4">
      <c r="A17" s="8"/>
      <c r="D17" s="2">
        <f t="shared" si="0"/>
        <v>0</v>
      </c>
    </row>
    <row r="18" spans="1:4">
      <c r="A18" s="8"/>
      <c r="D18" s="2">
        <f t="shared" si="0"/>
        <v>0</v>
      </c>
    </row>
    <row r="19" spans="4:4">
      <c r="D19" s="2">
        <f t="shared" si="0"/>
        <v>0</v>
      </c>
    </row>
    <row r="20" spans="4:4">
      <c r="D20" s="2">
        <f t="shared" si="0"/>
        <v>0</v>
      </c>
    </row>
    <row r="21" spans="4:4">
      <c r="D21" s="2">
        <f t="shared" si="0"/>
        <v>0</v>
      </c>
    </row>
    <row r="22" spans="4:4">
      <c r="D22" s="2">
        <f t="shared" si="0"/>
        <v>0</v>
      </c>
    </row>
    <row r="23" spans="4:4">
      <c r="D23" s="2">
        <f t="shared" si="0"/>
        <v>0</v>
      </c>
    </row>
    <row r="24" spans="4:4">
      <c r="D24" s="2">
        <f t="shared" si="0"/>
        <v>0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si="0"/>
        <v>0</v>
      </c>
    </row>
    <row r="69" spans="4:4">
      <c r="D69" s="2">
        <f t="shared" ref="D69:D80" si="1">C69/8</f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  <row r="80" spans="4:4">
      <c r="D80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9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80"/>
  <sheetViews>
    <sheetView workbookViewId="0">
      <selection activeCell="A24" sqref="$A24:$XFD24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93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9">
      <c r="A4" s="8">
        <v>43262</v>
      </c>
      <c r="B4" s="2" t="s">
        <v>27</v>
      </c>
      <c r="C4" s="2">
        <v>63</v>
      </c>
      <c r="D4" s="2">
        <f>C4/8</f>
        <v>7.875</v>
      </c>
      <c r="I4" s="2" t="s">
        <v>60</v>
      </c>
    </row>
    <row r="5" spans="1:9">
      <c r="A5" s="8">
        <v>43315</v>
      </c>
      <c r="B5" s="2" t="s">
        <v>27</v>
      </c>
      <c r="C5" s="2">
        <v>-8</v>
      </c>
      <c r="D5" s="2">
        <f t="shared" ref="D5:D68" si="0">C5/8</f>
        <v>-1</v>
      </c>
      <c r="I5" s="2" t="s">
        <v>69</v>
      </c>
    </row>
    <row r="6" spans="1:4">
      <c r="A6" s="8">
        <v>43322</v>
      </c>
      <c r="B6" s="2" t="s">
        <v>25</v>
      </c>
      <c r="C6" s="2">
        <v>32</v>
      </c>
      <c r="D6" s="2">
        <f t="shared" si="0"/>
        <v>4</v>
      </c>
    </row>
    <row r="7" spans="1:4">
      <c r="A7" s="8">
        <v>43329</v>
      </c>
      <c r="B7" s="2" t="s">
        <v>25</v>
      </c>
      <c r="C7" s="2">
        <v>6</v>
      </c>
      <c r="D7" s="2">
        <f t="shared" si="0"/>
        <v>0.75</v>
      </c>
    </row>
    <row r="8" spans="1:4">
      <c r="A8" s="8">
        <v>43332</v>
      </c>
      <c r="B8" s="2" t="s">
        <v>26</v>
      </c>
      <c r="C8" s="2">
        <v>-15.2</v>
      </c>
      <c r="D8" s="2">
        <f t="shared" si="0"/>
        <v>-1.9</v>
      </c>
    </row>
    <row r="9" spans="1:4">
      <c r="A9" s="8">
        <v>43364</v>
      </c>
      <c r="B9" s="2" t="s">
        <v>28</v>
      </c>
      <c r="C9" s="2">
        <v>1</v>
      </c>
      <c r="D9" s="2">
        <f t="shared" si="0"/>
        <v>0.125</v>
      </c>
    </row>
    <row r="10" spans="1:4">
      <c r="A10" s="8">
        <v>43369</v>
      </c>
      <c r="B10" s="2" t="s">
        <v>27</v>
      </c>
      <c r="C10" s="2">
        <v>0.5</v>
      </c>
      <c r="D10" s="2">
        <f t="shared" si="0"/>
        <v>0.0625</v>
      </c>
    </row>
    <row r="11" spans="1:4">
      <c r="A11" s="8">
        <v>43378</v>
      </c>
      <c r="B11" s="2" t="s">
        <v>28</v>
      </c>
      <c r="C11" s="2">
        <v>0.5</v>
      </c>
      <c r="D11" s="2">
        <f t="shared" si="0"/>
        <v>0.0625</v>
      </c>
    </row>
    <row r="12" spans="1:4">
      <c r="A12" s="8">
        <v>43412</v>
      </c>
      <c r="B12" s="2" t="s">
        <v>28</v>
      </c>
      <c r="C12" s="2">
        <v>0.25</v>
      </c>
      <c r="D12" s="2">
        <f t="shared" si="0"/>
        <v>0.03125</v>
      </c>
    </row>
    <row r="13" spans="1:4">
      <c r="A13" s="8">
        <v>43418</v>
      </c>
      <c r="B13" s="2" t="s">
        <v>28</v>
      </c>
      <c r="C13" s="2">
        <v>0.25</v>
      </c>
      <c r="D13" s="2">
        <f t="shared" si="0"/>
        <v>0.03125</v>
      </c>
    </row>
    <row r="14" spans="1:4">
      <c r="A14" s="8">
        <v>43474</v>
      </c>
      <c r="B14" s="2" t="s">
        <v>28</v>
      </c>
      <c r="C14" s="2">
        <v>0.25</v>
      </c>
      <c r="D14" s="2">
        <f t="shared" si="0"/>
        <v>0.03125</v>
      </c>
    </row>
    <row r="15" spans="1:4">
      <c r="A15" s="8">
        <v>43513</v>
      </c>
      <c r="B15" s="2" t="s">
        <v>27</v>
      </c>
      <c r="C15" s="2">
        <v>0.5</v>
      </c>
      <c r="D15" s="2">
        <f t="shared" si="0"/>
        <v>0.0625</v>
      </c>
    </row>
    <row r="16" spans="1:4">
      <c r="A16" s="8">
        <v>43520</v>
      </c>
      <c r="B16" s="2" t="s">
        <v>29</v>
      </c>
      <c r="C16" s="2">
        <v>0.25</v>
      </c>
      <c r="D16" s="2">
        <f t="shared" si="0"/>
        <v>0.03125</v>
      </c>
    </row>
    <row r="17" spans="1:4">
      <c r="A17" s="8">
        <v>43523</v>
      </c>
      <c r="B17" s="2" t="s">
        <v>29</v>
      </c>
      <c r="C17" s="2">
        <v>0.25</v>
      </c>
      <c r="D17" s="2">
        <f t="shared" si="0"/>
        <v>0.03125</v>
      </c>
    </row>
    <row r="18" spans="1:4">
      <c r="A18" s="8">
        <v>43536</v>
      </c>
      <c r="B18" s="2" t="s">
        <v>29</v>
      </c>
      <c r="C18" s="2">
        <v>0.25</v>
      </c>
      <c r="D18" s="2">
        <f t="shared" si="0"/>
        <v>0.03125</v>
      </c>
    </row>
    <row r="19" spans="1:4">
      <c r="A19" s="8">
        <v>43549</v>
      </c>
      <c r="B19" s="2" t="s">
        <v>29</v>
      </c>
      <c r="C19" s="2">
        <v>0.25</v>
      </c>
      <c r="D19" s="2">
        <f t="shared" si="0"/>
        <v>0.03125</v>
      </c>
    </row>
    <row r="20" spans="1:4">
      <c r="A20" s="8">
        <v>43550</v>
      </c>
      <c r="B20" s="2" t="s">
        <v>29</v>
      </c>
      <c r="C20" s="2">
        <v>0.25</v>
      </c>
      <c r="D20" s="2">
        <f t="shared" si="0"/>
        <v>0.03125</v>
      </c>
    </row>
    <row r="21" spans="1:4">
      <c r="A21" s="8">
        <v>43564</v>
      </c>
      <c r="B21" s="2" t="s">
        <v>27</v>
      </c>
      <c r="C21" s="2">
        <v>0.25</v>
      </c>
      <c r="D21" s="2">
        <f t="shared" si="0"/>
        <v>0.03125</v>
      </c>
    </row>
    <row r="22" spans="1:4">
      <c r="A22" s="8">
        <v>43566</v>
      </c>
      <c r="B22" s="2" t="s">
        <v>27</v>
      </c>
      <c r="C22" s="2">
        <v>0.5</v>
      </c>
      <c r="D22" s="2">
        <f t="shared" si="0"/>
        <v>0.0625</v>
      </c>
    </row>
    <row r="23" spans="1:4">
      <c r="A23" s="8">
        <v>43570</v>
      </c>
      <c r="B23" s="2" t="s">
        <v>29</v>
      </c>
      <c r="C23" s="2">
        <v>0.25</v>
      </c>
      <c r="D23" s="2">
        <f t="shared" si="0"/>
        <v>0.03125</v>
      </c>
    </row>
    <row r="24" spans="1:4">
      <c r="A24" s="8">
        <v>43572</v>
      </c>
      <c r="B24" s="2" t="s">
        <v>29</v>
      </c>
      <c r="C24" s="2">
        <v>0.25</v>
      </c>
      <c r="D24" s="2">
        <f t="shared" si="0"/>
        <v>0.03125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si="0"/>
        <v>0</v>
      </c>
    </row>
    <row r="69" spans="4:4">
      <c r="D69" s="2">
        <f t="shared" ref="D69:D80" si="1">C69/8</f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  <row r="80" spans="4:4">
      <c r="D80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9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80"/>
  <sheetViews>
    <sheetView workbookViewId="0">
      <selection activeCell="C13" sqref="C13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94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9">
      <c r="A4" s="8">
        <v>43250</v>
      </c>
      <c r="B4" s="2" t="s">
        <v>27</v>
      </c>
      <c r="C4" s="2">
        <v>80</v>
      </c>
      <c r="D4" s="2">
        <f>C4/8</f>
        <v>10</v>
      </c>
      <c r="I4" s="2" t="s">
        <v>41</v>
      </c>
    </row>
    <row r="5" spans="1:9">
      <c r="A5" s="8">
        <v>43321</v>
      </c>
      <c r="B5" s="2" t="s">
        <v>25</v>
      </c>
      <c r="C5" s="2">
        <v>2</v>
      </c>
      <c r="D5" s="2">
        <f t="shared" ref="D5:D68" si="0">C5/8</f>
        <v>0.25</v>
      </c>
      <c r="I5" s="2" t="s">
        <v>64</v>
      </c>
    </row>
    <row r="6" spans="1:4">
      <c r="A6" s="8">
        <v>43329</v>
      </c>
      <c r="B6" s="2" t="s">
        <v>25</v>
      </c>
      <c r="C6" s="2">
        <v>0.25</v>
      </c>
      <c r="D6" s="2">
        <f t="shared" si="0"/>
        <v>0.03125</v>
      </c>
    </row>
    <row r="7" spans="1:4">
      <c r="A7" s="8">
        <v>43332</v>
      </c>
      <c r="B7" s="2" t="s">
        <v>26</v>
      </c>
      <c r="C7" s="2">
        <v>-15.2</v>
      </c>
      <c r="D7" s="2">
        <f t="shared" si="0"/>
        <v>-1.9</v>
      </c>
    </row>
    <row r="8" spans="1:4">
      <c r="A8" s="8">
        <v>43333</v>
      </c>
      <c r="B8" s="2" t="s">
        <v>25</v>
      </c>
      <c r="C8" s="2">
        <v>0.25</v>
      </c>
      <c r="D8" s="2">
        <f t="shared" si="0"/>
        <v>0.03125</v>
      </c>
    </row>
    <row r="9" spans="1:4">
      <c r="A9" s="8">
        <v>43363</v>
      </c>
      <c r="B9" s="2" t="s">
        <v>27</v>
      </c>
      <c r="C9" s="2">
        <v>2</v>
      </c>
      <c r="D9" s="2">
        <f t="shared" si="0"/>
        <v>0.25</v>
      </c>
    </row>
    <row r="10" spans="1:4">
      <c r="A10" s="8">
        <v>43369</v>
      </c>
      <c r="B10" s="2" t="s">
        <v>27</v>
      </c>
      <c r="C10" s="2">
        <v>0.5</v>
      </c>
      <c r="D10" s="2">
        <f t="shared" si="0"/>
        <v>0.0625</v>
      </c>
    </row>
    <row r="11" spans="1:4">
      <c r="A11" s="8">
        <v>43377</v>
      </c>
      <c r="B11" s="2" t="s">
        <v>27</v>
      </c>
      <c r="C11" s="2">
        <v>0.25</v>
      </c>
      <c r="D11" s="2">
        <f t="shared" si="0"/>
        <v>0.03125</v>
      </c>
    </row>
    <row r="12" spans="1:4">
      <c r="A12" s="8">
        <v>43411</v>
      </c>
      <c r="B12" s="2" t="s">
        <v>28</v>
      </c>
      <c r="C12" s="2">
        <v>0.25</v>
      </c>
      <c r="D12" s="2">
        <f t="shared" si="0"/>
        <v>0.03125</v>
      </c>
    </row>
    <row r="13" spans="1:4">
      <c r="A13" s="8">
        <v>43513</v>
      </c>
      <c r="B13" s="2" t="s">
        <v>27</v>
      </c>
      <c r="C13" s="2">
        <v>0.5</v>
      </c>
      <c r="D13" s="2">
        <f t="shared" si="0"/>
        <v>0.0625</v>
      </c>
    </row>
    <row r="14" spans="4:4">
      <c r="D14" s="2">
        <f t="shared" si="0"/>
        <v>0</v>
      </c>
    </row>
    <row r="15" spans="4:4">
      <c r="D15" s="2">
        <f t="shared" si="0"/>
        <v>0</v>
      </c>
    </row>
    <row r="16" spans="1:4">
      <c r="A16" s="8"/>
      <c r="D16" s="2">
        <f t="shared" si="0"/>
        <v>0</v>
      </c>
    </row>
    <row r="17" spans="1:4">
      <c r="A17" s="8"/>
      <c r="D17" s="2">
        <f t="shared" si="0"/>
        <v>0</v>
      </c>
    </row>
    <row r="18" spans="1:4">
      <c r="A18" s="8"/>
      <c r="D18" s="2">
        <f t="shared" si="0"/>
        <v>0</v>
      </c>
    </row>
    <row r="19" spans="4:4">
      <c r="D19" s="2">
        <f t="shared" si="0"/>
        <v>0</v>
      </c>
    </row>
    <row r="20" spans="4:4">
      <c r="D20" s="2">
        <f t="shared" si="0"/>
        <v>0</v>
      </c>
    </row>
    <row r="21" spans="4:4">
      <c r="D21" s="2">
        <f t="shared" si="0"/>
        <v>0</v>
      </c>
    </row>
    <row r="22" spans="4:4">
      <c r="D22" s="2">
        <f t="shared" si="0"/>
        <v>0</v>
      </c>
    </row>
    <row r="23" spans="4:4">
      <c r="D23" s="2">
        <f t="shared" si="0"/>
        <v>0</v>
      </c>
    </row>
    <row r="24" spans="4:4">
      <c r="D24" s="2">
        <f t="shared" si="0"/>
        <v>0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si="0"/>
        <v>0</v>
      </c>
    </row>
    <row r="69" spans="4:4">
      <c r="D69" s="2">
        <f t="shared" ref="D69:D80" si="1">C69/8</f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  <row r="80" spans="4:4">
      <c r="D80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9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79"/>
  <sheetViews>
    <sheetView workbookViewId="0">
      <selection activeCell="A20" sqref="$A20:$XFD20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95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4">
      <c r="A4" s="8">
        <v>43252</v>
      </c>
      <c r="B4" s="2" t="s">
        <v>27</v>
      </c>
      <c r="C4" s="2">
        <v>65</v>
      </c>
      <c r="D4" s="2">
        <f t="shared" ref="D4:D67" si="0">C4/8</f>
        <v>8.125</v>
      </c>
    </row>
    <row r="5" spans="1:4">
      <c r="A5" s="8">
        <v>43329</v>
      </c>
      <c r="B5" s="2" t="s">
        <v>25</v>
      </c>
      <c r="C5" s="2">
        <v>16</v>
      </c>
      <c r="D5" s="2">
        <f t="shared" si="0"/>
        <v>2</v>
      </c>
    </row>
    <row r="6" spans="1:4">
      <c r="A6" s="8">
        <v>43332</v>
      </c>
      <c r="B6" s="2" t="s">
        <v>26</v>
      </c>
      <c r="C6" s="2">
        <v>-15.2</v>
      </c>
      <c r="D6" s="2">
        <f t="shared" si="0"/>
        <v>-1.9</v>
      </c>
    </row>
    <row r="7" spans="1:4">
      <c r="A7" s="8">
        <v>43363</v>
      </c>
      <c r="B7" s="2" t="s">
        <v>27</v>
      </c>
      <c r="C7" s="2">
        <v>2</v>
      </c>
      <c r="D7" s="2">
        <f t="shared" si="0"/>
        <v>0.25</v>
      </c>
    </row>
    <row r="8" spans="1:4">
      <c r="A8" s="8">
        <v>43369</v>
      </c>
      <c r="B8" s="2" t="s">
        <v>27</v>
      </c>
      <c r="C8" s="2">
        <v>0.5</v>
      </c>
      <c r="D8" s="2">
        <f t="shared" si="0"/>
        <v>0.0625</v>
      </c>
    </row>
    <row r="9" spans="1:4">
      <c r="A9" s="8">
        <v>43378</v>
      </c>
      <c r="B9" s="2" t="s">
        <v>28</v>
      </c>
      <c r="C9" s="2">
        <v>0.5</v>
      </c>
      <c r="D9" s="2">
        <f t="shared" si="0"/>
        <v>0.0625</v>
      </c>
    </row>
    <row r="10" spans="1:4">
      <c r="A10" s="8">
        <v>43474</v>
      </c>
      <c r="B10" s="2" t="s">
        <v>28</v>
      </c>
      <c r="C10" s="2">
        <v>0.25</v>
      </c>
      <c r="D10" s="2">
        <f t="shared" si="0"/>
        <v>0.03125</v>
      </c>
    </row>
    <row r="11" spans="1:4">
      <c r="A11" s="8">
        <v>43513</v>
      </c>
      <c r="B11" s="2" t="s">
        <v>27</v>
      </c>
      <c r="C11" s="2">
        <v>0.5</v>
      </c>
      <c r="D11" s="2">
        <f t="shared" si="0"/>
        <v>0.0625</v>
      </c>
    </row>
    <row r="12" spans="1:4">
      <c r="A12" s="8">
        <v>43520</v>
      </c>
      <c r="B12" s="2" t="s">
        <v>29</v>
      </c>
      <c r="C12" s="2">
        <v>0.25</v>
      </c>
      <c r="D12" s="2">
        <f t="shared" si="0"/>
        <v>0.03125</v>
      </c>
    </row>
    <row r="13" spans="1:4">
      <c r="A13" s="8">
        <v>43523</v>
      </c>
      <c r="B13" s="2" t="s">
        <v>29</v>
      </c>
      <c r="C13" s="2">
        <v>0.25</v>
      </c>
      <c r="D13" s="2">
        <f t="shared" si="0"/>
        <v>0.03125</v>
      </c>
    </row>
    <row r="14" spans="1:4">
      <c r="A14" s="8">
        <v>43536</v>
      </c>
      <c r="B14" s="2" t="s">
        <v>29</v>
      </c>
      <c r="C14" s="2">
        <v>0.25</v>
      </c>
      <c r="D14" s="2">
        <f t="shared" si="0"/>
        <v>0.03125</v>
      </c>
    </row>
    <row r="15" spans="1:4">
      <c r="A15" s="8">
        <v>43549</v>
      </c>
      <c r="B15" s="2" t="s">
        <v>29</v>
      </c>
      <c r="C15" s="2">
        <v>0.5</v>
      </c>
      <c r="D15" s="2">
        <f t="shared" si="0"/>
        <v>0.0625</v>
      </c>
    </row>
    <row r="16" spans="1:4">
      <c r="A16" s="8">
        <v>43550</v>
      </c>
      <c r="B16" s="2" t="s">
        <v>29</v>
      </c>
      <c r="C16" s="2">
        <v>0.5</v>
      </c>
      <c r="D16" s="2">
        <f t="shared" ref="D16:D20" si="1">C16/8</f>
        <v>0.0625</v>
      </c>
    </row>
    <row r="17" spans="1:4">
      <c r="A17" s="8">
        <v>43564</v>
      </c>
      <c r="B17" s="2" t="s">
        <v>27</v>
      </c>
      <c r="C17" s="2">
        <v>0.25</v>
      </c>
      <c r="D17" s="2">
        <f t="shared" si="1"/>
        <v>0.03125</v>
      </c>
    </row>
    <row r="18" spans="1:4">
      <c r="A18" s="8">
        <v>43566</v>
      </c>
      <c r="B18" s="2" t="s">
        <v>27</v>
      </c>
      <c r="C18" s="2">
        <v>0.25</v>
      </c>
      <c r="D18" s="2">
        <f t="shared" si="1"/>
        <v>0.03125</v>
      </c>
    </row>
    <row r="19" spans="1:4">
      <c r="A19" s="8">
        <v>43570</v>
      </c>
      <c r="B19" s="2" t="s">
        <v>29</v>
      </c>
      <c r="C19" s="2">
        <v>0.5</v>
      </c>
      <c r="D19" s="2">
        <f t="shared" si="1"/>
        <v>0.0625</v>
      </c>
    </row>
    <row r="20" spans="1:4">
      <c r="A20" s="8">
        <v>43572</v>
      </c>
      <c r="B20" s="2" t="s">
        <v>29</v>
      </c>
      <c r="C20" s="2">
        <v>0.5</v>
      </c>
      <c r="D20" s="2">
        <f t="shared" si="1"/>
        <v>0.0625</v>
      </c>
    </row>
    <row r="21" spans="4:4">
      <c r="D21" s="2">
        <f t="shared" si="0"/>
        <v>0</v>
      </c>
    </row>
    <row r="22" spans="4:4">
      <c r="D22" s="2">
        <f t="shared" si="0"/>
        <v>0</v>
      </c>
    </row>
    <row r="23" spans="4:4">
      <c r="D23" s="2">
        <f t="shared" si="0"/>
        <v>0</v>
      </c>
    </row>
    <row r="24" spans="4:4">
      <c r="D24" s="2">
        <f t="shared" si="0"/>
        <v>0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ref="D68:D79" si="2">C68/8</f>
        <v>0</v>
      </c>
    </row>
    <row r="69" spans="4:4">
      <c r="D69" s="2">
        <f t="shared" si="2"/>
        <v>0</v>
      </c>
    </row>
    <row r="70" spans="4:4">
      <c r="D70" s="2">
        <f t="shared" si="2"/>
        <v>0</v>
      </c>
    </row>
    <row r="71" spans="4:4">
      <c r="D71" s="2">
        <f t="shared" si="2"/>
        <v>0</v>
      </c>
    </row>
    <row r="72" spans="4:4">
      <c r="D72" s="2">
        <f t="shared" si="2"/>
        <v>0</v>
      </c>
    </row>
    <row r="73" spans="4:4">
      <c r="D73" s="2">
        <f t="shared" si="2"/>
        <v>0</v>
      </c>
    </row>
    <row r="74" spans="4:4">
      <c r="D74" s="2">
        <f t="shared" si="2"/>
        <v>0</v>
      </c>
    </row>
    <row r="75" spans="4:4">
      <c r="D75" s="2">
        <f t="shared" si="2"/>
        <v>0</v>
      </c>
    </row>
    <row r="76" spans="4:4">
      <c r="D76" s="2">
        <f t="shared" si="2"/>
        <v>0</v>
      </c>
    </row>
    <row r="77" spans="4:4">
      <c r="D77" s="2">
        <f t="shared" si="2"/>
        <v>0</v>
      </c>
    </row>
    <row r="78" spans="4:4">
      <c r="D78" s="2">
        <f t="shared" si="2"/>
        <v>0</v>
      </c>
    </row>
    <row r="79" spans="4:4">
      <c r="D79" s="2">
        <f t="shared" si="2"/>
        <v>0</v>
      </c>
    </row>
  </sheetData>
  <mergeCells count="1">
    <mergeCell ref="A1:B1"/>
  </mergeCells>
  <pageMargins left="0.7" right="0.7" top="0.75" bottom="0.75" header="0.3" footer="0.3"/>
  <headerFooter/>
</worksheet>
</file>

<file path=xl/worksheets/sheet9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80"/>
  <sheetViews>
    <sheetView workbookViewId="0">
      <selection activeCell="A15" sqref="$A15:$XFD15"/>
    </sheetView>
  </sheetViews>
  <sheetFormatPr defaultColWidth="9" defaultRowHeight="14.25"/>
  <cols>
    <col min="1" max="1" width="10.7083333333333" customWidth="true"/>
    <col min="2" max="8" width="10.7083333333333" style="2" customWidth="true"/>
    <col min="9" max="9" width="56.8583333333333" style="2" customWidth="true"/>
    <col min="10" max="16384" width="9.14166666666667"/>
  </cols>
  <sheetData>
    <row r="1" s="1" customFormat="true" ht="48.75" customHeight="true" spans="1:9">
      <c r="A1" s="3" t="s">
        <v>14</v>
      </c>
      <c r="B1" s="3"/>
      <c r="C1" s="4">
        <v>96</v>
      </c>
      <c r="D1" s="4"/>
      <c r="E1" s="4"/>
      <c r="F1" s="9"/>
      <c r="G1" s="9"/>
      <c r="H1" s="9"/>
      <c r="I1" s="10" t="s">
        <v>15</v>
      </c>
    </row>
    <row r="2" spans="1:9">
      <c r="A2" s="5"/>
      <c r="B2" s="5"/>
      <c r="C2" s="5"/>
      <c r="D2" s="5"/>
      <c r="E2" s="5"/>
      <c r="F2" s="5"/>
      <c r="G2" s="5"/>
      <c r="H2" s="5"/>
      <c r="I2" s="5"/>
    </row>
    <row r="3" ht="15" spans="1:9">
      <c r="A3" s="6" t="s">
        <v>16</v>
      </c>
      <c r="B3" s="7" t="s">
        <v>17</v>
      </c>
      <c r="C3" s="7" t="s">
        <v>7</v>
      </c>
      <c r="D3" s="7" t="s">
        <v>18</v>
      </c>
      <c r="E3" s="7" t="s">
        <v>19</v>
      </c>
      <c r="F3" s="7" t="s">
        <v>20</v>
      </c>
      <c r="G3" s="7" t="s">
        <v>21</v>
      </c>
      <c r="H3" s="7" t="s">
        <v>22</v>
      </c>
      <c r="I3" s="7" t="s">
        <v>23</v>
      </c>
    </row>
    <row r="4" ht="15" spans="1:9">
      <c r="A4" s="8">
        <v>43250</v>
      </c>
      <c r="B4" s="2" t="s">
        <v>27</v>
      </c>
      <c r="C4" s="2">
        <v>71</v>
      </c>
      <c r="D4" s="2">
        <f>C4/8</f>
        <v>8.875</v>
      </c>
      <c r="I4" s="2" t="s">
        <v>41</v>
      </c>
    </row>
    <row r="5" spans="1:4">
      <c r="A5" s="8">
        <v>43332</v>
      </c>
      <c r="B5" s="2" t="s">
        <v>26</v>
      </c>
      <c r="C5" s="2">
        <v>-15.2</v>
      </c>
      <c r="D5" s="2">
        <f t="shared" ref="D5:D68" si="0">C5/8</f>
        <v>-1.9</v>
      </c>
    </row>
    <row r="6" spans="1:4">
      <c r="A6" s="8">
        <v>43363</v>
      </c>
      <c r="B6" s="2" t="s">
        <v>27</v>
      </c>
      <c r="C6" s="2">
        <v>4</v>
      </c>
      <c r="D6" s="2">
        <f t="shared" si="0"/>
        <v>0.5</v>
      </c>
    </row>
    <row r="7" spans="1:4">
      <c r="A7" s="8">
        <v>43369</v>
      </c>
      <c r="B7" s="2" t="s">
        <v>27</v>
      </c>
      <c r="C7" s="2">
        <v>0.5</v>
      </c>
      <c r="D7" s="2">
        <f t="shared" si="0"/>
        <v>0.0625</v>
      </c>
    </row>
    <row r="8" spans="1:4">
      <c r="A8" s="8">
        <v>43376</v>
      </c>
      <c r="B8" s="2" t="s">
        <v>28</v>
      </c>
      <c r="C8" s="2">
        <v>0.5</v>
      </c>
      <c r="D8" s="2">
        <f t="shared" si="0"/>
        <v>0.0625</v>
      </c>
    </row>
    <row r="9" spans="1:4">
      <c r="A9" s="8">
        <v>43418</v>
      </c>
      <c r="B9" s="2" t="s">
        <v>28</v>
      </c>
      <c r="C9" s="2">
        <v>0.5</v>
      </c>
      <c r="D9" s="2">
        <f t="shared" si="0"/>
        <v>0.0625</v>
      </c>
    </row>
    <row r="10" spans="1:4">
      <c r="A10" s="8">
        <v>43475</v>
      </c>
      <c r="B10" s="2" t="s">
        <v>28</v>
      </c>
      <c r="C10" s="2">
        <v>0.25</v>
      </c>
      <c r="D10" s="2">
        <f t="shared" si="0"/>
        <v>0.03125</v>
      </c>
    </row>
    <row r="11" spans="1:4">
      <c r="A11" s="8">
        <v>43496</v>
      </c>
      <c r="B11" s="2" t="s">
        <v>28</v>
      </c>
      <c r="C11" s="2">
        <v>0.25</v>
      </c>
      <c r="D11" s="2">
        <f t="shared" si="0"/>
        <v>0.03125</v>
      </c>
    </row>
    <row r="12" spans="1:4">
      <c r="A12" s="8">
        <v>43513</v>
      </c>
      <c r="B12" s="2" t="s">
        <v>27</v>
      </c>
      <c r="C12" s="2">
        <v>0.5</v>
      </c>
      <c r="D12" s="2">
        <f t="shared" si="0"/>
        <v>0.0625</v>
      </c>
    </row>
    <row r="13" spans="1:4">
      <c r="A13" s="8">
        <v>43520</v>
      </c>
      <c r="B13" s="2" t="s">
        <v>29</v>
      </c>
      <c r="C13" s="2">
        <v>0.25</v>
      </c>
      <c r="D13" s="2">
        <f t="shared" si="0"/>
        <v>0.03125</v>
      </c>
    </row>
    <row r="14" spans="1:4">
      <c r="A14" s="8">
        <v>43536</v>
      </c>
      <c r="B14" s="2" t="s">
        <v>29</v>
      </c>
      <c r="C14" s="2">
        <v>0.25</v>
      </c>
      <c r="D14" s="2">
        <f t="shared" si="0"/>
        <v>0.03125</v>
      </c>
    </row>
    <row r="15" spans="1:4">
      <c r="A15" s="8">
        <v>43566</v>
      </c>
      <c r="B15" s="2" t="s">
        <v>27</v>
      </c>
      <c r="C15" s="2">
        <v>0.25</v>
      </c>
      <c r="D15" s="2">
        <f t="shared" si="0"/>
        <v>0.03125</v>
      </c>
    </row>
    <row r="16" spans="1:4">
      <c r="A16" s="8"/>
      <c r="D16" s="2">
        <f t="shared" si="0"/>
        <v>0</v>
      </c>
    </row>
    <row r="17" spans="1:4">
      <c r="A17" s="8"/>
      <c r="D17" s="2">
        <f t="shared" si="0"/>
        <v>0</v>
      </c>
    </row>
    <row r="18" spans="1:4">
      <c r="A18" s="8"/>
      <c r="D18" s="2">
        <f t="shared" si="0"/>
        <v>0</v>
      </c>
    </row>
    <row r="19" spans="4:4">
      <c r="D19" s="2">
        <f t="shared" si="0"/>
        <v>0</v>
      </c>
    </row>
    <row r="20" spans="4:4">
      <c r="D20" s="2">
        <f t="shared" si="0"/>
        <v>0</v>
      </c>
    </row>
    <row r="21" spans="4:4">
      <c r="D21" s="2">
        <f t="shared" si="0"/>
        <v>0</v>
      </c>
    </row>
    <row r="22" spans="4:4">
      <c r="D22" s="2">
        <f t="shared" si="0"/>
        <v>0</v>
      </c>
    </row>
    <row r="23" spans="4:4">
      <c r="D23" s="2">
        <f t="shared" si="0"/>
        <v>0</v>
      </c>
    </row>
    <row r="24" spans="4:4">
      <c r="D24" s="2">
        <f t="shared" si="0"/>
        <v>0</v>
      </c>
    </row>
    <row r="25" spans="4:4">
      <c r="D25" s="2">
        <f t="shared" si="0"/>
        <v>0</v>
      </c>
    </row>
    <row r="26" spans="4:4">
      <c r="D26" s="2">
        <f t="shared" si="0"/>
        <v>0</v>
      </c>
    </row>
    <row r="27" spans="4:4">
      <c r="D27" s="2">
        <f t="shared" si="0"/>
        <v>0</v>
      </c>
    </row>
    <row r="28" spans="4:4">
      <c r="D28" s="2">
        <f t="shared" si="0"/>
        <v>0</v>
      </c>
    </row>
    <row r="29" spans="4:4">
      <c r="D29" s="2">
        <f t="shared" si="0"/>
        <v>0</v>
      </c>
    </row>
    <row r="30" spans="4:4">
      <c r="D30" s="2">
        <f t="shared" si="0"/>
        <v>0</v>
      </c>
    </row>
    <row r="31" spans="4:4">
      <c r="D31" s="2">
        <f t="shared" si="0"/>
        <v>0</v>
      </c>
    </row>
    <row r="32" spans="4:4">
      <c r="D32" s="2">
        <f t="shared" si="0"/>
        <v>0</v>
      </c>
    </row>
    <row r="33" spans="4:4">
      <c r="D33" s="2">
        <f t="shared" si="0"/>
        <v>0</v>
      </c>
    </row>
    <row r="34" spans="4:4">
      <c r="D34" s="2">
        <f t="shared" si="0"/>
        <v>0</v>
      </c>
    </row>
    <row r="35" spans="4:4">
      <c r="D35" s="2">
        <f t="shared" si="0"/>
        <v>0</v>
      </c>
    </row>
    <row r="36" spans="4:4">
      <c r="D36" s="2">
        <f t="shared" si="0"/>
        <v>0</v>
      </c>
    </row>
    <row r="37" spans="4:4">
      <c r="D37" s="2">
        <f t="shared" si="0"/>
        <v>0</v>
      </c>
    </row>
    <row r="38" spans="4:4">
      <c r="D38" s="2">
        <f t="shared" si="0"/>
        <v>0</v>
      </c>
    </row>
    <row r="39" spans="4:4">
      <c r="D39" s="2">
        <f t="shared" si="0"/>
        <v>0</v>
      </c>
    </row>
    <row r="40" spans="4:4">
      <c r="D40" s="2">
        <f t="shared" si="0"/>
        <v>0</v>
      </c>
    </row>
    <row r="41" spans="4:4">
      <c r="D41" s="2">
        <f t="shared" si="0"/>
        <v>0</v>
      </c>
    </row>
    <row r="42" spans="4:4">
      <c r="D42" s="2">
        <f t="shared" si="0"/>
        <v>0</v>
      </c>
    </row>
    <row r="43" spans="4:4">
      <c r="D43" s="2">
        <f t="shared" si="0"/>
        <v>0</v>
      </c>
    </row>
    <row r="44" spans="4:4">
      <c r="D44" s="2">
        <f t="shared" si="0"/>
        <v>0</v>
      </c>
    </row>
    <row r="45" spans="4:4">
      <c r="D45" s="2">
        <f t="shared" si="0"/>
        <v>0</v>
      </c>
    </row>
    <row r="46" spans="4:4">
      <c r="D46" s="2">
        <f t="shared" si="0"/>
        <v>0</v>
      </c>
    </row>
    <row r="47" spans="4:4">
      <c r="D47" s="2">
        <f t="shared" si="0"/>
        <v>0</v>
      </c>
    </row>
    <row r="48" spans="4:4">
      <c r="D48" s="2">
        <f t="shared" si="0"/>
        <v>0</v>
      </c>
    </row>
    <row r="49" spans="4:4">
      <c r="D49" s="2">
        <f t="shared" si="0"/>
        <v>0</v>
      </c>
    </row>
    <row r="50" spans="4:4">
      <c r="D50" s="2">
        <f t="shared" si="0"/>
        <v>0</v>
      </c>
    </row>
    <row r="51" spans="4:4">
      <c r="D51" s="2">
        <f t="shared" si="0"/>
        <v>0</v>
      </c>
    </row>
    <row r="52" spans="4:4">
      <c r="D52" s="2">
        <f t="shared" si="0"/>
        <v>0</v>
      </c>
    </row>
    <row r="53" spans="4:4">
      <c r="D53" s="2">
        <f t="shared" si="0"/>
        <v>0</v>
      </c>
    </row>
    <row r="54" spans="4:4">
      <c r="D54" s="2">
        <f t="shared" si="0"/>
        <v>0</v>
      </c>
    </row>
    <row r="55" spans="4:4">
      <c r="D55" s="2">
        <f t="shared" si="0"/>
        <v>0</v>
      </c>
    </row>
    <row r="56" spans="4:4">
      <c r="D56" s="2">
        <f t="shared" si="0"/>
        <v>0</v>
      </c>
    </row>
    <row r="57" spans="4:4">
      <c r="D57" s="2">
        <f t="shared" si="0"/>
        <v>0</v>
      </c>
    </row>
    <row r="58" spans="4:4">
      <c r="D58" s="2">
        <f t="shared" si="0"/>
        <v>0</v>
      </c>
    </row>
    <row r="59" spans="4:4">
      <c r="D59" s="2">
        <f t="shared" si="0"/>
        <v>0</v>
      </c>
    </row>
    <row r="60" spans="4:4">
      <c r="D60" s="2">
        <f t="shared" si="0"/>
        <v>0</v>
      </c>
    </row>
    <row r="61" spans="4:4">
      <c r="D61" s="2">
        <f t="shared" si="0"/>
        <v>0</v>
      </c>
    </row>
    <row r="62" spans="4:4">
      <c r="D62" s="2">
        <f t="shared" si="0"/>
        <v>0</v>
      </c>
    </row>
    <row r="63" spans="4:4">
      <c r="D63" s="2">
        <f t="shared" si="0"/>
        <v>0</v>
      </c>
    </row>
    <row r="64" spans="4:4">
      <c r="D64" s="2">
        <f t="shared" si="0"/>
        <v>0</v>
      </c>
    </row>
    <row r="65" spans="4:4">
      <c r="D65" s="2">
        <f t="shared" si="0"/>
        <v>0</v>
      </c>
    </row>
    <row r="66" spans="4:4">
      <c r="D66" s="2">
        <f t="shared" si="0"/>
        <v>0</v>
      </c>
    </row>
    <row r="67" spans="4:4">
      <c r="D67" s="2">
        <f t="shared" si="0"/>
        <v>0</v>
      </c>
    </row>
    <row r="68" spans="4:4">
      <c r="D68" s="2">
        <f t="shared" si="0"/>
        <v>0</v>
      </c>
    </row>
    <row r="69" spans="4:4">
      <c r="D69" s="2">
        <f t="shared" ref="D69:D80" si="1">C69/8</f>
        <v>0</v>
      </c>
    </row>
    <row r="70" spans="4:4">
      <c r="D70" s="2">
        <f t="shared" si="1"/>
        <v>0</v>
      </c>
    </row>
    <row r="71" spans="4:4">
      <c r="D71" s="2">
        <f t="shared" si="1"/>
        <v>0</v>
      </c>
    </row>
    <row r="72" spans="4:4">
      <c r="D72" s="2">
        <f t="shared" si="1"/>
        <v>0</v>
      </c>
    </row>
    <row r="73" spans="4:4">
      <c r="D73" s="2">
        <f t="shared" si="1"/>
        <v>0</v>
      </c>
    </row>
    <row r="74" spans="4:4">
      <c r="D74" s="2">
        <f t="shared" si="1"/>
        <v>0</v>
      </c>
    </row>
    <row r="75" spans="4:4">
      <c r="D75" s="2">
        <f t="shared" si="1"/>
        <v>0</v>
      </c>
    </row>
    <row r="76" spans="4:4">
      <c r="D76" s="2">
        <f t="shared" si="1"/>
        <v>0</v>
      </c>
    </row>
    <row r="77" spans="4:4">
      <c r="D77" s="2">
        <f t="shared" si="1"/>
        <v>0</v>
      </c>
    </row>
    <row r="78" spans="4:4">
      <c r="D78" s="2">
        <f t="shared" si="1"/>
        <v>0</v>
      </c>
    </row>
    <row r="79" spans="4:4">
      <c r="D79" s="2">
        <f t="shared" si="1"/>
        <v>0</v>
      </c>
    </row>
    <row r="80" spans="4:4">
      <c r="D80" s="2">
        <f t="shared" si="1"/>
        <v>0</v>
      </c>
    </row>
  </sheetData>
  <mergeCells count="1">
    <mergeCell ref="A1:B1"/>
  </mergeCells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97</vt:i4>
      </vt:variant>
    </vt:vector>
  </HeadingPairs>
  <TitlesOfParts>
    <vt:vector size="97" baseType="lpstr">
      <vt:lpstr>Summary</vt:lpstr>
      <vt:lpstr>Trode (1)</vt:lpstr>
      <vt:lpstr>Trode (2)</vt:lpstr>
      <vt:lpstr>Trode (3)</vt:lpstr>
      <vt:lpstr>Trode (4)</vt:lpstr>
      <vt:lpstr>Trode (5)</vt:lpstr>
      <vt:lpstr>Trode (6)</vt:lpstr>
      <vt:lpstr>Trode (7)</vt:lpstr>
      <vt:lpstr>Trode (8)</vt:lpstr>
      <vt:lpstr>Trode (9)</vt:lpstr>
      <vt:lpstr>Trode (10)</vt:lpstr>
      <vt:lpstr>Trode (11)</vt:lpstr>
      <vt:lpstr>Trode (12)</vt:lpstr>
      <vt:lpstr>Trode (13)</vt:lpstr>
      <vt:lpstr>Trode (14)</vt:lpstr>
      <vt:lpstr>Trode (15)</vt:lpstr>
      <vt:lpstr>Trode (16)</vt:lpstr>
      <vt:lpstr>Trode (17)</vt:lpstr>
      <vt:lpstr>Trode (18)</vt:lpstr>
      <vt:lpstr>Trode (19)</vt:lpstr>
      <vt:lpstr>Trode (20)</vt:lpstr>
      <vt:lpstr>Trode (21)</vt:lpstr>
      <vt:lpstr>Trode (22)</vt:lpstr>
      <vt:lpstr>Trode (23)</vt:lpstr>
      <vt:lpstr>Trode (24)</vt:lpstr>
      <vt:lpstr>Trode (25)</vt:lpstr>
      <vt:lpstr>Trode (26)</vt:lpstr>
      <vt:lpstr>Trode (27)</vt:lpstr>
      <vt:lpstr>Trode (28)</vt:lpstr>
      <vt:lpstr>Trode (29)</vt:lpstr>
      <vt:lpstr>Trode (30)</vt:lpstr>
      <vt:lpstr>Trode (31)</vt:lpstr>
      <vt:lpstr>Trode (32)</vt:lpstr>
      <vt:lpstr>Trode (33)</vt:lpstr>
      <vt:lpstr>Trode (34)</vt:lpstr>
      <vt:lpstr>Trode (35)</vt:lpstr>
      <vt:lpstr>Trode (36)</vt:lpstr>
      <vt:lpstr>Trode (37)</vt:lpstr>
      <vt:lpstr>Trode (38)</vt:lpstr>
      <vt:lpstr>Trode (39)</vt:lpstr>
      <vt:lpstr>Trode (40)</vt:lpstr>
      <vt:lpstr>Trode (41)</vt:lpstr>
      <vt:lpstr>Trode (42)</vt:lpstr>
      <vt:lpstr>Trode (43)</vt:lpstr>
      <vt:lpstr>Trode (44)</vt:lpstr>
      <vt:lpstr>Trode (45)</vt:lpstr>
      <vt:lpstr>Trode (46)</vt:lpstr>
      <vt:lpstr>Trode (47)</vt:lpstr>
      <vt:lpstr>Trode (48)</vt:lpstr>
      <vt:lpstr>Trode (49)</vt:lpstr>
      <vt:lpstr>Trode (50)</vt:lpstr>
      <vt:lpstr>Trode (51)</vt:lpstr>
      <vt:lpstr>Trode (52)</vt:lpstr>
      <vt:lpstr>Trode (53)</vt:lpstr>
      <vt:lpstr>Trode (54)</vt:lpstr>
      <vt:lpstr>Trode (55)</vt:lpstr>
      <vt:lpstr>Trode (56)</vt:lpstr>
      <vt:lpstr>Trode (57)</vt:lpstr>
      <vt:lpstr>Trode (58)</vt:lpstr>
      <vt:lpstr>Trode (59)</vt:lpstr>
      <vt:lpstr>Trode (60)</vt:lpstr>
      <vt:lpstr>Trode (61)</vt:lpstr>
      <vt:lpstr>Trode (62)</vt:lpstr>
      <vt:lpstr>Trode (63)</vt:lpstr>
      <vt:lpstr>Trode (64)</vt:lpstr>
      <vt:lpstr>Trode (65)</vt:lpstr>
      <vt:lpstr>Trode (66)</vt:lpstr>
      <vt:lpstr>Trode (67)</vt:lpstr>
      <vt:lpstr>Trode (68)</vt:lpstr>
      <vt:lpstr>Trode (69)</vt:lpstr>
      <vt:lpstr>Trode (70)</vt:lpstr>
      <vt:lpstr>Trode (71)</vt:lpstr>
      <vt:lpstr>Trode (72)</vt:lpstr>
      <vt:lpstr>Trode (73)</vt:lpstr>
      <vt:lpstr>Trode (74)</vt:lpstr>
      <vt:lpstr>Trode (75)</vt:lpstr>
      <vt:lpstr>Trode (76)</vt:lpstr>
      <vt:lpstr>Trode (77)</vt:lpstr>
      <vt:lpstr>Trode (78)</vt:lpstr>
      <vt:lpstr>Trode (79)</vt:lpstr>
      <vt:lpstr>Trode (80)</vt:lpstr>
      <vt:lpstr>Trode (81)</vt:lpstr>
      <vt:lpstr>Trode (82)</vt:lpstr>
      <vt:lpstr>Trode (83)</vt:lpstr>
      <vt:lpstr>Trode (84)</vt:lpstr>
      <vt:lpstr>Trode (85)</vt:lpstr>
      <vt:lpstr>Trode (86)</vt:lpstr>
      <vt:lpstr>Trode (87)</vt:lpstr>
      <vt:lpstr>Trode (88)</vt:lpstr>
      <vt:lpstr>Trode (89)</vt:lpstr>
      <vt:lpstr>Trode (90)</vt:lpstr>
      <vt:lpstr>Trode (91)</vt:lpstr>
      <vt:lpstr>Trode (92)</vt:lpstr>
      <vt:lpstr>Trode (93)</vt:lpstr>
      <vt:lpstr>Trode (94)</vt:lpstr>
      <vt:lpstr>Trode (95)</vt:lpstr>
      <vt:lpstr>Trode (96)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cioleary</dc:creator>
  <cp:lastModifiedBy>nando</cp:lastModifiedBy>
  <dcterms:created xsi:type="dcterms:W3CDTF">2018-04-11T13:16:00Z</dcterms:created>
  <dcterms:modified xsi:type="dcterms:W3CDTF">2020-10-13T15:18:07Z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1033-11.1.0.9662</vt:lpwstr>
  </property>
</Properties>
</file>